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da\Documents\IEEE-CS-DataScience-26\Task-9\"/>
    </mc:Choice>
  </mc:AlternateContent>
  <xr:revisionPtr revIDLastSave="0" documentId="13_ncr:1_{489FC56C-8F96-4F5C-B3AF-BB631E5152DF}" xr6:coauthVersionLast="44" xr6:coauthVersionMax="44" xr10:uidLastSave="{00000000-0000-0000-0000-000000000000}"/>
  <bookViews>
    <workbookView xWindow="-120" yWindow="-120" windowWidth="20730" windowHeight="11160" xr2:uid="{47E50953-5618-481F-96AD-69ADE76811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4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2" i="1"/>
  <c r="I3" i="1"/>
  <c r="I1" i="1"/>
  <c r="I2" i="1"/>
</calcChain>
</file>

<file path=xl/sharedStrings.xml><?xml version="1.0" encoding="utf-8"?>
<sst xmlns="http://schemas.openxmlformats.org/spreadsheetml/2006/main" count="118" uniqueCount="29">
  <si>
    <t>Date</t>
  </si>
  <si>
    <t>Drink</t>
  </si>
  <si>
    <t>Quantity</t>
  </si>
  <si>
    <t>Price</t>
  </si>
  <si>
    <t>Category</t>
  </si>
  <si>
    <t>Revenue</t>
  </si>
  <si>
    <t>Iced Pistachio Latte</t>
  </si>
  <si>
    <t>Iced Rose Latte</t>
  </si>
  <si>
    <t>Mocha</t>
  </si>
  <si>
    <t>Iced Latte</t>
  </si>
  <si>
    <t>Iced Caramel Latte</t>
  </si>
  <si>
    <t>Espresso</t>
  </si>
  <si>
    <t>Pistachio Latte</t>
  </si>
  <si>
    <t>Cappuccino</t>
  </si>
  <si>
    <t>Iced Spanish Latte</t>
  </si>
  <si>
    <t>Turkish Coffee</t>
  </si>
  <si>
    <t>Iced White Mocha</t>
  </si>
  <si>
    <t>Caramel Latte</t>
  </si>
  <si>
    <t>Iced Kinder</t>
  </si>
  <si>
    <t>Red Velvet Latte</t>
  </si>
  <si>
    <t>Spanish Latte</t>
  </si>
  <si>
    <t>Total Quantity :</t>
  </si>
  <si>
    <t>Avg Price:</t>
  </si>
  <si>
    <t>Count of Sales Entries:</t>
  </si>
  <si>
    <t>Cold Coffee</t>
  </si>
  <si>
    <t>Special Drinks</t>
  </si>
  <si>
    <t>Hot Coffee</t>
  </si>
  <si>
    <t>Total Revenue: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</si>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</sst>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&quot;$&quot;#,##0"/>
    <numFmt numFmtId="173" formatCode="[$-1010000]d/m/yyyy;@"/>
  </numFmts>
  <fonts count="5" x14ac:knownFonts="1"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name val="Calibri"/>
      <family val="2"/>
    </font>
    <font>
      <b/>
      <sz val="14"/>
      <color rgb="FFC00000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171" fontId="2" fillId="0" borderId="1" xfId="0" applyNumberFormat="1" applyFont="1" applyBorder="1" applyAlignment="1">
      <alignment horizontal="center"/>
    </xf>
    <xf numFmtId="171" fontId="0" fillId="0" borderId="1" xfId="0" applyNumberFormat="1" applyBorder="1"/>
    <xf numFmtId="171" fontId="0" fillId="0" borderId="0" xfId="0" applyNumberFormat="1"/>
    <xf numFmtId="0" fontId="3" fillId="0" borderId="2" xfId="0" applyFont="1" applyFill="1" applyBorder="1"/>
    <xf numFmtId="171" fontId="3" fillId="0" borderId="2" xfId="0" applyNumberFormat="1" applyFont="1" applyFill="1" applyBorder="1"/>
    <xf numFmtId="0" fontId="3" fillId="0" borderId="0" xfId="0" applyFont="1"/>
    <xf numFmtId="0" fontId="1" fillId="0" borderId="0" xfId="0" applyFont="1"/>
    <xf numFmtId="171" fontId="4" fillId="0" borderId="1" xfId="0" applyNumberFormat="1" applyFont="1" applyBorder="1" applyAlignment="1">
      <alignment horizontal="center"/>
    </xf>
    <xf numFmtId="171" fontId="0" fillId="0" borderId="0" xfId="0" applyNumberFormat="1" applyFont="1"/>
    <xf numFmtId="173" fontId="2" fillId="0" borderId="1" xfId="0" applyNumberFormat="1" applyFont="1" applyBorder="1" applyAlignment="1">
      <alignment horizontal="center"/>
    </xf>
    <xf numFmtId="173" fontId="0" fillId="0" borderId="1" xfId="0" applyNumberFormat="1" applyBorder="1"/>
    <xf numFmtId="173" fontId="0" fillId="0" borderId="0" xfId="0" applyNumberFormat="1"/>
    <xf numFmtId="17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Sheet1!$B$2:$B$45</c:f>
              <c:strCache>
                <c:ptCount val="44"/>
                <c:pt idx="0">
                  <c:v>Iced Pistachio Latte</c:v>
                </c:pt>
                <c:pt idx="1">
                  <c:v>Iced Rose Latte</c:v>
                </c:pt>
                <c:pt idx="2">
                  <c:v>Mocha</c:v>
                </c:pt>
                <c:pt idx="3">
                  <c:v>Iced Latte</c:v>
                </c:pt>
                <c:pt idx="4">
                  <c:v>Iced Caramel Latte</c:v>
                </c:pt>
                <c:pt idx="5">
                  <c:v>Iced Latte</c:v>
                </c:pt>
                <c:pt idx="6">
                  <c:v>Espresso</c:v>
                </c:pt>
                <c:pt idx="7">
                  <c:v>Iced Pistachio Latte</c:v>
                </c:pt>
                <c:pt idx="8">
                  <c:v>Pistachio Latte</c:v>
                </c:pt>
                <c:pt idx="9">
                  <c:v>Cappuccino</c:v>
                </c:pt>
                <c:pt idx="10">
                  <c:v>Iced Spanish Latte</c:v>
                </c:pt>
                <c:pt idx="11">
                  <c:v>Turkish Coffee</c:v>
                </c:pt>
                <c:pt idx="12">
                  <c:v>Iced White Mocha</c:v>
                </c:pt>
                <c:pt idx="13">
                  <c:v>Iced Caramel Latte</c:v>
                </c:pt>
                <c:pt idx="14">
                  <c:v>Caramel Latte</c:v>
                </c:pt>
                <c:pt idx="15">
                  <c:v>Turkish Coffee</c:v>
                </c:pt>
                <c:pt idx="16">
                  <c:v>Pistachio Latte</c:v>
                </c:pt>
                <c:pt idx="17">
                  <c:v>Iced Kinder</c:v>
                </c:pt>
                <c:pt idx="18">
                  <c:v>Red Velvet Latte</c:v>
                </c:pt>
                <c:pt idx="19">
                  <c:v>Iced Spanish Latte</c:v>
                </c:pt>
                <c:pt idx="20">
                  <c:v>Iced Kinder</c:v>
                </c:pt>
                <c:pt idx="21">
                  <c:v>Iced Spanish Latte</c:v>
                </c:pt>
                <c:pt idx="22">
                  <c:v>Iced Kinder</c:v>
                </c:pt>
                <c:pt idx="23">
                  <c:v>Espresso</c:v>
                </c:pt>
                <c:pt idx="24">
                  <c:v>Iced Caramel Latte</c:v>
                </c:pt>
                <c:pt idx="25">
                  <c:v>Iced Rose Latte</c:v>
                </c:pt>
                <c:pt idx="26">
                  <c:v>Turkish Coffee</c:v>
                </c:pt>
                <c:pt idx="27">
                  <c:v>Iced Pistachio Latte</c:v>
                </c:pt>
                <c:pt idx="28">
                  <c:v>Caramel Latte</c:v>
                </c:pt>
                <c:pt idx="29">
                  <c:v>Mocha</c:v>
                </c:pt>
                <c:pt idx="30">
                  <c:v>Mocha</c:v>
                </c:pt>
                <c:pt idx="31">
                  <c:v>Iced Pistachio Latte</c:v>
                </c:pt>
                <c:pt idx="32">
                  <c:v>Pistachio Latte</c:v>
                </c:pt>
                <c:pt idx="33">
                  <c:v>Turkish Coffee</c:v>
                </c:pt>
                <c:pt idx="34">
                  <c:v>Spanish Latte</c:v>
                </c:pt>
                <c:pt idx="35">
                  <c:v>Iced Pistachio Latte</c:v>
                </c:pt>
                <c:pt idx="36">
                  <c:v>Spanish Latte</c:v>
                </c:pt>
                <c:pt idx="37">
                  <c:v>Espresso</c:v>
                </c:pt>
                <c:pt idx="38">
                  <c:v>Pistachio Latte</c:v>
                </c:pt>
                <c:pt idx="39">
                  <c:v>Red Velvet Latte</c:v>
                </c:pt>
                <c:pt idx="40">
                  <c:v>Iced White Mocha</c:v>
                </c:pt>
                <c:pt idx="41">
                  <c:v>Red Velvet Latte</c:v>
                </c:pt>
                <c:pt idx="42">
                  <c:v>Turkish Coffee</c:v>
                </c:pt>
                <c:pt idx="43">
                  <c:v>Mocha</c:v>
                </c:pt>
              </c:strCache>
            </c:strRef>
          </c:cat>
          <c:val>
            <c:numRef>
              <c:f>Sheet1!$C$2:$C$45</c:f>
              <c:numCache>
                <c:formatCode>General</c:formatCode>
                <c:ptCount val="44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2</c:v>
                </c:pt>
                <c:pt idx="5">
                  <c:v>3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6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5</c:v>
                </c:pt>
                <c:pt idx="18">
                  <c:v>7</c:v>
                </c:pt>
                <c:pt idx="19">
                  <c:v>7</c:v>
                </c:pt>
                <c:pt idx="20">
                  <c:v>1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5</c:v>
                </c:pt>
                <c:pt idx="25">
                  <c:v>4</c:v>
                </c:pt>
                <c:pt idx="26">
                  <c:v>4</c:v>
                </c:pt>
                <c:pt idx="27">
                  <c:v>7</c:v>
                </c:pt>
                <c:pt idx="28">
                  <c:v>3</c:v>
                </c:pt>
                <c:pt idx="29">
                  <c:v>6</c:v>
                </c:pt>
                <c:pt idx="30">
                  <c:v>1</c:v>
                </c:pt>
                <c:pt idx="31">
                  <c:v>6</c:v>
                </c:pt>
                <c:pt idx="32">
                  <c:v>7</c:v>
                </c:pt>
                <c:pt idx="33">
                  <c:v>6</c:v>
                </c:pt>
                <c:pt idx="34">
                  <c:v>5</c:v>
                </c:pt>
                <c:pt idx="35">
                  <c:v>5</c:v>
                </c:pt>
                <c:pt idx="36">
                  <c:v>1</c:v>
                </c:pt>
                <c:pt idx="37">
                  <c:v>7</c:v>
                </c:pt>
                <c:pt idx="38">
                  <c:v>1</c:v>
                </c:pt>
                <c:pt idx="39">
                  <c:v>2</c:v>
                </c:pt>
                <c:pt idx="40">
                  <c:v>5</c:v>
                </c:pt>
                <c:pt idx="41">
                  <c:v>5</c:v>
                </c:pt>
                <c:pt idx="42">
                  <c:v>1</c:v>
                </c:pt>
                <c:pt idx="4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6-4679-BBDA-9116A2254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3014592"/>
        <c:axId val="1163016560"/>
      </c:barChart>
      <c:catAx>
        <c:axId val="116301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016560"/>
        <c:crosses val="autoZero"/>
        <c:auto val="1"/>
        <c:lblAlgn val="ctr"/>
        <c:lblOffset val="100"/>
        <c:noMultiLvlLbl val="0"/>
      </c:catAx>
      <c:valAx>
        <c:axId val="116301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01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29</xdr:row>
      <xdr:rowOff>33337</xdr:rowOff>
    </xdr:from>
    <xdr:to>
      <xdr:col>15</xdr:col>
      <xdr:colOff>419100</xdr:colOff>
      <xdr:row>43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7DE513-B26C-45B0-BF05-77A2A1D82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3E0D-7E73-4D7F-A295-9F7F2D10550C}">
  <dimension ref="A1:N45"/>
  <sheetViews>
    <sheetView tabSelected="1" topLeftCell="A23" workbookViewId="0">
      <selection activeCell="Q39" sqref="Q39"/>
    </sheetView>
  </sheetViews>
  <sheetFormatPr defaultRowHeight="15" x14ac:dyDescent="0.25"/>
  <cols>
    <col min="1" max="1" width="25.85546875" style="16" bestFit="1" customWidth="1"/>
    <col min="2" max="2" width="18.28515625" bestFit="1" customWidth="1"/>
    <col min="3" max="3" width="10.85546875" customWidth="1"/>
    <col min="4" max="4" width="9.140625" style="7"/>
    <col min="5" max="5" width="13.42578125" style="13" bestFit="1" customWidth="1"/>
    <col min="6" max="6" width="9.140625" style="7"/>
    <col min="8" max="8" width="26.42578125" bestFit="1" customWidth="1"/>
    <col min="9" max="9" width="10" customWidth="1"/>
    <col min="12" max="12" width="13.42578125" hidden="1" customWidth="1"/>
    <col min="13" max="13" width="18.28515625" hidden="1" customWidth="1"/>
    <col min="14" max="14" width="0" hidden="1" customWidth="1"/>
  </cols>
  <sheetData>
    <row r="1" spans="1:14" ht="18.75" x14ac:dyDescent="0.3">
      <c r="A1" s="14" t="s">
        <v>0</v>
      </c>
      <c r="B1" s="1" t="s">
        <v>1</v>
      </c>
      <c r="C1" s="3" t="s">
        <v>2</v>
      </c>
      <c r="D1" s="5" t="s">
        <v>3</v>
      </c>
      <c r="E1" s="5" t="s">
        <v>4</v>
      </c>
      <c r="F1" s="5" t="s">
        <v>5</v>
      </c>
      <c r="H1" s="8" t="s">
        <v>21</v>
      </c>
      <c r="I1" s="8">
        <f>SUM(C2:C45)</f>
        <v>197</v>
      </c>
      <c r="L1" s="11" t="s">
        <v>24</v>
      </c>
      <c r="M1" t="s">
        <v>28</v>
      </c>
      <c r="N1" t="s">
        <v>3</v>
      </c>
    </row>
    <row r="2" spans="1:14" ht="18.75" x14ac:dyDescent="0.3">
      <c r="A2" s="15">
        <v>46082</v>
      </c>
      <c r="B2" s="2" t="s">
        <v>6</v>
      </c>
      <c r="C2" s="4">
        <v>3</v>
      </c>
      <c r="D2" s="6">
        <v>6</v>
      </c>
      <c r="E2" s="12" t="s">
        <v>24</v>
      </c>
      <c r="F2" s="6">
        <f>C2*D2</f>
        <v>18</v>
      </c>
      <c r="H2" s="8" t="s">
        <v>22</v>
      </c>
      <c r="I2" s="9">
        <f>AVERAGE(D2:D45)</f>
        <v>4.6590909090909092</v>
      </c>
      <c r="L2" s="11" t="s">
        <v>26</v>
      </c>
      <c r="M2" t="s">
        <v>6</v>
      </c>
      <c r="N2">
        <v>6</v>
      </c>
    </row>
    <row r="3" spans="1:14" ht="18.75" x14ac:dyDescent="0.3">
      <c r="A3" s="15">
        <v>46083</v>
      </c>
      <c r="B3" s="2" t="s">
        <v>7</v>
      </c>
      <c r="C3" s="4">
        <v>1</v>
      </c>
      <c r="D3" s="6">
        <v>5</v>
      </c>
      <c r="E3" s="12" t="s">
        <v>25</v>
      </c>
      <c r="F3" s="6">
        <f t="shared" ref="F3:F45" si="0">C3*D3</f>
        <v>5</v>
      </c>
      <c r="H3" s="8" t="s">
        <v>23</v>
      </c>
      <c r="I3" s="10">
        <f>COUNT(C2:C45)</f>
        <v>44</v>
      </c>
      <c r="L3" s="11" t="s">
        <v>25</v>
      </c>
      <c r="M3" t="s">
        <v>7</v>
      </c>
      <c r="N3">
        <v>5</v>
      </c>
    </row>
    <row r="4" spans="1:14" ht="18.75" x14ac:dyDescent="0.3">
      <c r="A4" s="15">
        <v>46084</v>
      </c>
      <c r="B4" s="2" t="s">
        <v>8</v>
      </c>
      <c r="C4" s="4">
        <v>4</v>
      </c>
      <c r="D4" s="6">
        <v>4</v>
      </c>
      <c r="E4" s="12" t="s">
        <v>26</v>
      </c>
      <c r="F4" s="6">
        <f t="shared" si="0"/>
        <v>16</v>
      </c>
      <c r="H4" s="8" t="s">
        <v>27</v>
      </c>
      <c r="I4" s="17">
        <f>SUM($F$2:$F$66)</f>
        <v>913</v>
      </c>
      <c r="M4" t="s">
        <v>8</v>
      </c>
      <c r="N4">
        <v>4</v>
      </c>
    </row>
    <row r="5" spans="1:14" x14ac:dyDescent="0.25">
      <c r="A5" s="15">
        <v>46085</v>
      </c>
      <c r="B5" s="2" t="s">
        <v>9</v>
      </c>
      <c r="C5" s="4">
        <v>5</v>
      </c>
      <c r="D5" s="6">
        <v>4</v>
      </c>
      <c r="E5" s="12" t="s">
        <v>24</v>
      </c>
      <c r="F5" s="6">
        <f t="shared" si="0"/>
        <v>20</v>
      </c>
      <c r="I5" s="7"/>
      <c r="M5" t="s">
        <v>9</v>
      </c>
      <c r="N5">
        <v>4</v>
      </c>
    </row>
    <row r="6" spans="1:14" x14ac:dyDescent="0.25">
      <c r="A6" s="15">
        <v>46086</v>
      </c>
      <c r="B6" s="2" t="s">
        <v>10</v>
      </c>
      <c r="C6" s="4">
        <v>2</v>
      </c>
      <c r="D6" s="6">
        <v>5</v>
      </c>
      <c r="E6" s="12" t="s">
        <v>24</v>
      </c>
      <c r="F6" s="6">
        <f t="shared" si="0"/>
        <v>10</v>
      </c>
      <c r="M6" t="s">
        <v>10</v>
      </c>
      <c r="N6">
        <v>5</v>
      </c>
    </row>
    <row r="7" spans="1:14" x14ac:dyDescent="0.25">
      <c r="A7" s="15">
        <v>46087</v>
      </c>
      <c r="B7" s="2" t="s">
        <v>9</v>
      </c>
      <c r="C7" s="4">
        <v>3</v>
      </c>
      <c r="D7" s="6">
        <v>4</v>
      </c>
      <c r="E7" s="12" t="s">
        <v>24</v>
      </c>
      <c r="F7" s="6">
        <f t="shared" si="0"/>
        <v>12</v>
      </c>
      <c r="M7" t="s">
        <v>11</v>
      </c>
      <c r="N7">
        <v>3</v>
      </c>
    </row>
    <row r="8" spans="1:14" x14ac:dyDescent="0.25">
      <c r="A8" s="15">
        <v>46088</v>
      </c>
      <c r="B8" s="2" t="s">
        <v>11</v>
      </c>
      <c r="C8" s="4">
        <v>5</v>
      </c>
      <c r="D8" s="6">
        <v>3</v>
      </c>
      <c r="E8" s="12" t="s">
        <v>26</v>
      </c>
      <c r="F8" s="6">
        <f t="shared" si="0"/>
        <v>15</v>
      </c>
      <c r="M8" t="s">
        <v>12</v>
      </c>
      <c r="N8">
        <v>5</v>
      </c>
    </row>
    <row r="9" spans="1:14" x14ac:dyDescent="0.25">
      <c r="A9" s="15">
        <v>46089</v>
      </c>
      <c r="B9" s="2" t="s">
        <v>6</v>
      </c>
      <c r="C9" s="4">
        <v>5</v>
      </c>
      <c r="D9" s="6">
        <v>6</v>
      </c>
      <c r="E9" s="12" t="s">
        <v>24</v>
      </c>
      <c r="F9" s="6">
        <f t="shared" si="0"/>
        <v>30</v>
      </c>
      <c r="M9" t="s">
        <v>17</v>
      </c>
      <c r="N9">
        <v>5</v>
      </c>
    </row>
    <row r="10" spans="1:14" x14ac:dyDescent="0.25">
      <c r="A10" s="15">
        <v>46090</v>
      </c>
      <c r="B10" s="2" t="s">
        <v>12</v>
      </c>
      <c r="C10" s="4">
        <v>5</v>
      </c>
      <c r="D10" s="6">
        <v>5</v>
      </c>
      <c r="E10" s="12" t="s">
        <v>25</v>
      </c>
      <c r="F10" s="6">
        <f t="shared" si="0"/>
        <v>25</v>
      </c>
      <c r="M10" t="s">
        <v>15</v>
      </c>
      <c r="N10">
        <v>3</v>
      </c>
    </row>
    <row r="11" spans="1:14" x14ac:dyDescent="0.25">
      <c r="A11" s="15">
        <v>46091</v>
      </c>
      <c r="B11" s="2" t="s">
        <v>13</v>
      </c>
      <c r="C11" s="4">
        <v>4</v>
      </c>
      <c r="D11" s="6">
        <v>4</v>
      </c>
      <c r="E11" s="12" t="s">
        <v>26</v>
      </c>
      <c r="F11" s="6">
        <f t="shared" si="0"/>
        <v>16</v>
      </c>
      <c r="M11" t="s">
        <v>18</v>
      </c>
      <c r="N11">
        <v>6</v>
      </c>
    </row>
    <row r="12" spans="1:14" x14ac:dyDescent="0.25">
      <c r="A12" s="15">
        <v>46092</v>
      </c>
      <c r="B12" s="2" t="s">
        <v>14</v>
      </c>
      <c r="C12" s="4">
        <v>3</v>
      </c>
      <c r="D12" s="6">
        <v>5</v>
      </c>
      <c r="E12" s="12" t="s">
        <v>24</v>
      </c>
      <c r="F12" s="6">
        <f t="shared" si="0"/>
        <v>15</v>
      </c>
      <c r="M12" t="s">
        <v>19</v>
      </c>
      <c r="N12">
        <v>5</v>
      </c>
    </row>
    <row r="13" spans="1:14" x14ac:dyDescent="0.25">
      <c r="A13" s="15">
        <v>46093</v>
      </c>
      <c r="B13" s="2" t="s">
        <v>15</v>
      </c>
      <c r="C13" s="4">
        <v>6</v>
      </c>
      <c r="D13" s="6">
        <v>3</v>
      </c>
      <c r="E13" s="12" t="s">
        <v>26</v>
      </c>
      <c r="F13" s="6">
        <f t="shared" si="0"/>
        <v>18</v>
      </c>
      <c r="M13" t="s">
        <v>14</v>
      </c>
      <c r="N13">
        <v>5</v>
      </c>
    </row>
    <row r="14" spans="1:14" x14ac:dyDescent="0.25">
      <c r="A14" s="15">
        <v>46094</v>
      </c>
      <c r="B14" s="2" t="s">
        <v>16</v>
      </c>
      <c r="C14" s="4">
        <v>4</v>
      </c>
      <c r="D14" s="6">
        <v>5</v>
      </c>
      <c r="E14" s="12" t="s">
        <v>24</v>
      </c>
      <c r="F14" s="6">
        <f t="shared" si="0"/>
        <v>20</v>
      </c>
      <c r="M14" t="s">
        <v>20</v>
      </c>
      <c r="N14">
        <v>5</v>
      </c>
    </row>
    <row r="15" spans="1:14" x14ac:dyDescent="0.25">
      <c r="A15" s="15">
        <v>46095</v>
      </c>
      <c r="B15" s="2" t="s">
        <v>10</v>
      </c>
      <c r="C15" s="4">
        <v>5</v>
      </c>
      <c r="D15" s="6">
        <v>5</v>
      </c>
      <c r="E15" s="12" t="s">
        <v>24</v>
      </c>
      <c r="F15" s="6">
        <f t="shared" si="0"/>
        <v>25</v>
      </c>
      <c r="M15" t="s">
        <v>16</v>
      </c>
      <c r="N15">
        <v>5</v>
      </c>
    </row>
    <row r="16" spans="1:14" x14ac:dyDescent="0.25">
      <c r="A16" s="15">
        <v>46096</v>
      </c>
      <c r="B16" s="2" t="s">
        <v>17</v>
      </c>
      <c r="C16" s="4">
        <v>5</v>
      </c>
      <c r="D16" s="6">
        <v>5</v>
      </c>
      <c r="E16" s="12" t="s">
        <v>26</v>
      </c>
      <c r="F16" s="6">
        <f t="shared" si="0"/>
        <v>25</v>
      </c>
      <c r="M16" t="s">
        <v>13</v>
      </c>
      <c r="N16">
        <v>4</v>
      </c>
    </row>
    <row r="17" spans="1:6" x14ac:dyDescent="0.25">
      <c r="A17" s="15">
        <v>46097</v>
      </c>
      <c r="B17" s="2" t="s">
        <v>15</v>
      </c>
      <c r="C17" s="4">
        <v>6</v>
      </c>
      <c r="D17" s="6">
        <v>3</v>
      </c>
      <c r="E17" s="12" t="s">
        <v>26</v>
      </c>
      <c r="F17" s="6">
        <f t="shared" si="0"/>
        <v>18</v>
      </c>
    </row>
    <row r="18" spans="1:6" x14ac:dyDescent="0.25">
      <c r="A18" s="15">
        <v>46098</v>
      </c>
      <c r="B18" s="2" t="s">
        <v>12</v>
      </c>
      <c r="C18" s="4">
        <v>7</v>
      </c>
      <c r="D18" s="6">
        <v>5</v>
      </c>
      <c r="E18" s="12" t="s">
        <v>25</v>
      </c>
      <c r="F18" s="6">
        <f t="shared" si="0"/>
        <v>35</v>
      </c>
    </row>
    <row r="19" spans="1:6" x14ac:dyDescent="0.25">
      <c r="A19" s="15">
        <v>46099</v>
      </c>
      <c r="B19" s="2" t="s">
        <v>18</v>
      </c>
      <c r="C19" s="4">
        <v>5</v>
      </c>
      <c r="D19" s="6">
        <v>6</v>
      </c>
      <c r="E19" s="12" t="s">
        <v>25</v>
      </c>
      <c r="F19" s="6">
        <f t="shared" si="0"/>
        <v>30</v>
      </c>
    </row>
    <row r="20" spans="1:6" x14ac:dyDescent="0.25">
      <c r="A20" s="15">
        <v>46100</v>
      </c>
      <c r="B20" s="2" t="s">
        <v>19</v>
      </c>
      <c r="C20" s="4">
        <v>7</v>
      </c>
      <c r="D20" s="6">
        <v>5</v>
      </c>
      <c r="E20" s="12" t="s">
        <v>25</v>
      </c>
      <c r="F20" s="6">
        <f t="shared" si="0"/>
        <v>35</v>
      </c>
    </row>
    <row r="21" spans="1:6" x14ac:dyDescent="0.25">
      <c r="A21" s="15">
        <v>46101</v>
      </c>
      <c r="B21" s="2" t="s">
        <v>14</v>
      </c>
      <c r="C21" s="4">
        <v>7</v>
      </c>
      <c r="D21" s="6">
        <v>5</v>
      </c>
      <c r="E21" s="12" t="s">
        <v>24</v>
      </c>
      <c r="F21" s="6">
        <f t="shared" si="0"/>
        <v>35</v>
      </c>
    </row>
    <row r="22" spans="1:6" x14ac:dyDescent="0.25">
      <c r="A22" s="15">
        <v>46102</v>
      </c>
      <c r="B22" s="2" t="s">
        <v>18</v>
      </c>
      <c r="C22" s="4">
        <v>1</v>
      </c>
      <c r="D22" s="6">
        <v>6</v>
      </c>
      <c r="E22" s="12" t="s">
        <v>25</v>
      </c>
      <c r="F22" s="6">
        <f t="shared" si="0"/>
        <v>6</v>
      </c>
    </row>
    <row r="23" spans="1:6" x14ac:dyDescent="0.25">
      <c r="A23" s="15">
        <v>46103</v>
      </c>
      <c r="B23" s="2" t="s">
        <v>14</v>
      </c>
      <c r="C23" s="4">
        <v>6</v>
      </c>
      <c r="D23" s="6">
        <v>5</v>
      </c>
      <c r="E23" s="12" t="s">
        <v>24</v>
      </c>
      <c r="F23" s="6">
        <f t="shared" si="0"/>
        <v>30</v>
      </c>
    </row>
    <row r="24" spans="1:6" x14ac:dyDescent="0.25">
      <c r="A24" s="15">
        <v>46104</v>
      </c>
      <c r="B24" s="2" t="s">
        <v>18</v>
      </c>
      <c r="C24" s="4">
        <v>6</v>
      </c>
      <c r="D24" s="6">
        <v>6</v>
      </c>
      <c r="E24" s="12" t="s">
        <v>25</v>
      </c>
      <c r="F24" s="6">
        <f t="shared" si="0"/>
        <v>36</v>
      </c>
    </row>
    <row r="25" spans="1:6" x14ac:dyDescent="0.25">
      <c r="A25" s="15">
        <v>46105</v>
      </c>
      <c r="B25" s="2" t="s">
        <v>11</v>
      </c>
      <c r="C25" s="4">
        <v>6</v>
      </c>
      <c r="D25" s="6">
        <v>3</v>
      </c>
      <c r="E25" s="12" t="s">
        <v>26</v>
      </c>
      <c r="F25" s="6">
        <f t="shared" si="0"/>
        <v>18</v>
      </c>
    </row>
    <row r="26" spans="1:6" x14ac:dyDescent="0.25">
      <c r="A26" s="15">
        <v>46106</v>
      </c>
      <c r="B26" s="2" t="s">
        <v>10</v>
      </c>
      <c r="C26" s="4">
        <v>5</v>
      </c>
      <c r="D26" s="6">
        <v>5</v>
      </c>
      <c r="E26" s="12" t="s">
        <v>24</v>
      </c>
      <c r="F26" s="6">
        <f t="shared" si="0"/>
        <v>25</v>
      </c>
    </row>
    <row r="27" spans="1:6" x14ac:dyDescent="0.25">
      <c r="A27" s="15">
        <v>46107</v>
      </c>
      <c r="B27" s="2" t="s">
        <v>7</v>
      </c>
      <c r="C27" s="4">
        <v>4</v>
      </c>
      <c r="D27" s="6">
        <v>5</v>
      </c>
      <c r="E27" s="12" t="s">
        <v>25</v>
      </c>
      <c r="F27" s="6">
        <f t="shared" si="0"/>
        <v>20</v>
      </c>
    </row>
    <row r="28" spans="1:6" x14ac:dyDescent="0.25">
      <c r="A28" s="15">
        <v>46108</v>
      </c>
      <c r="B28" s="2" t="s">
        <v>15</v>
      </c>
      <c r="C28" s="4">
        <v>4</v>
      </c>
      <c r="D28" s="6">
        <v>3</v>
      </c>
      <c r="E28" s="12" t="s">
        <v>26</v>
      </c>
      <c r="F28" s="6">
        <f t="shared" si="0"/>
        <v>12</v>
      </c>
    </row>
    <row r="29" spans="1:6" x14ac:dyDescent="0.25">
      <c r="A29" s="15">
        <v>46109</v>
      </c>
      <c r="B29" s="2" t="s">
        <v>6</v>
      </c>
      <c r="C29" s="4">
        <v>7</v>
      </c>
      <c r="D29" s="6">
        <v>6</v>
      </c>
      <c r="E29" s="12" t="s">
        <v>24</v>
      </c>
      <c r="F29" s="6">
        <f t="shared" si="0"/>
        <v>42</v>
      </c>
    </row>
    <row r="30" spans="1:6" x14ac:dyDescent="0.25">
      <c r="A30" s="15">
        <v>46110</v>
      </c>
      <c r="B30" s="2" t="s">
        <v>17</v>
      </c>
      <c r="C30" s="4">
        <v>3</v>
      </c>
      <c r="D30" s="6">
        <v>5</v>
      </c>
      <c r="E30" s="12" t="s">
        <v>26</v>
      </c>
      <c r="F30" s="6">
        <f t="shared" si="0"/>
        <v>15</v>
      </c>
    </row>
    <row r="31" spans="1:6" x14ac:dyDescent="0.25">
      <c r="A31" s="15">
        <v>46111</v>
      </c>
      <c r="B31" s="2" t="s">
        <v>8</v>
      </c>
      <c r="C31" s="4">
        <v>6</v>
      </c>
      <c r="D31" s="6">
        <v>4</v>
      </c>
      <c r="E31" s="12" t="s">
        <v>26</v>
      </c>
      <c r="F31" s="6">
        <f t="shared" si="0"/>
        <v>24</v>
      </c>
    </row>
    <row r="32" spans="1:6" x14ac:dyDescent="0.25">
      <c r="A32" s="15">
        <v>46112</v>
      </c>
      <c r="B32" s="2" t="s">
        <v>8</v>
      </c>
      <c r="C32" s="4">
        <v>1</v>
      </c>
      <c r="D32" s="6">
        <v>4</v>
      </c>
      <c r="E32" s="12" t="s">
        <v>26</v>
      </c>
      <c r="F32" s="6">
        <f t="shared" si="0"/>
        <v>4</v>
      </c>
    </row>
    <row r="33" spans="1:6" x14ac:dyDescent="0.25">
      <c r="A33" s="15">
        <v>46113</v>
      </c>
      <c r="B33" s="2" t="s">
        <v>6</v>
      </c>
      <c r="C33" s="4">
        <v>6</v>
      </c>
      <c r="D33" s="6">
        <v>6</v>
      </c>
      <c r="E33" s="12" t="s">
        <v>24</v>
      </c>
      <c r="F33" s="6">
        <f t="shared" si="0"/>
        <v>36</v>
      </c>
    </row>
    <row r="34" spans="1:6" x14ac:dyDescent="0.25">
      <c r="A34" s="15">
        <v>46114</v>
      </c>
      <c r="B34" s="2" t="s">
        <v>12</v>
      </c>
      <c r="C34" s="4">
        <v>7</v>
      </c>
      <c r="D34" s="6">
        <v>5</v>
      </c>
      <c r="E34" s="12" t="s">
        <v>25</v>
      </c>
      <c r="F34" s="6">
        <f t="shared" si="0"/>
        <v>35</v>
      </c>
    </row>
    <row r="35" spans="1:6" x14ac:dyDescent="0.25">
      <c r="A35" s="15">
        <v>46115</v>
      </c>
      <c r="B35" s="2" t="s">
        <v>15</v>
      </c>
      <c r="C35" s="4">
        <v>6</v>
      </c>
      <c r="D35" s="6">
        <v>3</v>
      </c>
      <c r="E35" s="12" t="s">
        <v>26</v>
      </c>
      <c r="F35" s="6">
        <f t="shared" si="0"/>
        <v>18</v>
      </c>
    </row>
    <row r="36" spans="1:6" x14ac:dyDescent="0.25">
      <c r="A36" s="15">
        <v>46116</v>
      </c>
      <c r="B36" s="2" t="s">
        <v>20</v>
      </c>
      <c r="C36" s="4">
        <v>5</v>
      </c>
      <c r="D36" s="6">
        <v>5</v>
      </c>
      <c r="E36" s="12" t="s">
        <v>26</v>
      </c>
      <c r="F36" s="6">
        <f t="shared" si="0"/>
        <v>25</v>
      </c>
    </row>
    <row r="37" spans="1:6" x14ac:dyDescent="0.25">
      <c r="A37" s="15">
        <v>46117</v>
      </c>
      <c r="B37" s="2" t="s">
        <v>6</v>
      </c>
      <c r="C37" s="4">
        <v>5</v>
      </c>
      <c r="D37" s="6">
        <v>6</v>
      </c>
      <c r="E37" s="12" t="s">
        <v>24</v>
      </c>
      <c r="F37" s="6">
        <f t="shared" si="0"/>
        <v>30</v>
      </c>
    </row>
    <row r="38" spans="1:6" x14ac:dyDescent="0.25">
      <c r="A38" s="15">
        <v>46118</v>
      </c>
      <c r="B38" s="2" t="s">
        <v>20</v>
      </c>
      <c r="C38" s="4">
        <v>1</v>
      </c>
      <c r="D38" s="6">
        <v>5</v>
      </c>
      <c r="E38" s="12" t="s">
        <v>26</v>
      </c>
      <c r="F38" s="6">
        <f t="shared" si="0"/>
        <v>5</v>
      </c>
    </row>
    <row r="39" spans="1:6" x14ac:dyDescent="0.25">
      <c r="A39" s="15">
        <v>46119</v>
      </c>
      <c r="B39" s="2" t="s">
        <v>11</v>
      </c>
      <c r="C39" s="4">
        <v>7</v>
      </c>
      <c r="D39" s="6">
        <v>3</v>
      </c>
      <c r="E39" s="12" t="s">
        <v>26</v>
      </c>
      <c r="F39" s="6">
        <f t="shared" si="0"/>
        <v>21</v>
      </c>
    </row>
    <row r="40" spans="1:6" x14ac:dyDescent="0.25">
      <c r="A40" s="15">
        <v>46120</v>
      </c>
      <c r="B40" s="2" t="s">
        <v>12</v>
      </c>
      <c r="C40" s="4">
        <v>1</v>
      </c>
      <c r="D40" s="6">
        <v>5</v>
      </c>
      <c r="E40" s="12" t="s">
        <v>25</v>
      </c>
      <c r="F40" s="6">
        <f t="shared" si="0"/>
        <v>5</v>
      </c>
    </row>
    <row r="41" spans="1:6" x14ac:dyDescent="0.25">
      <c r="A41" s="15">
        <v>46121</v>
      </c>
      <c r="B41" s="2" t="s">
        <v>19</v>
      </c>
      <c r="C41" s="4">
        <v>2</v>
      </c>
      <c r="D41" s="6">
        <v>5</v>
      </c>
      <c r="E41" s="12" t="s">
        <v>25</v>
      </c>
      <c r="F41" s="6">
        <f t="shared" si="0"/>
        <v>10</v>
      </c>
    </row>
    <row r="42" spans="1:6" x14ac:dyDescent="0.25">
      <c r="A42" s="15">
        <v>46122</v>
      </c>
      <c r="B42" s="2" t="s">
        <v>16</v>
      </c>
      <c r="C42" s="4">
        <v>5</v>
      </c>
      <c r="D42" s="6">
        <v>5</v>
      </c>
      <c r="E42" s="12" t="s">
        <v>24</v>
      </c>
      <c r="F42" s="6">
        <f t="shared" si="0"/>
        <v>25</v>
      </c>
    </row>
    <row r="43" spans="1:6" x14ac:dyDescent="0.25">
      <c r="A43" s="15">
        <v>46123</v>
      </c>
      <c r="B43" s="2" t="s">
        <v>19</v>
      </c>
      <c r="C43" s="4">
        <v>5</v>
      </c>
      <c r="D43" s="6">
        <v>5</v>
      </c>
      <c r="E43" s="12" t="s">
        <v>25</v>
      </c>
      <c r="F43" s="6">
        <f t="shared" si="0"/>
        <v>25</v>
      </c>
    </row>
    <row r="44" spans="1:6" x14ac:dyDescent="0.25">
      <c r="A44" s="15">
        <v>46124</v>
      </c>
      <c r="B44" s="2" t="s">
        <v>15</v>
      </c>
      <c r="C44" s="4">
        <v>1</v>
      </c>
      <c r="D44" s="6">
        <v>3</v>
      </c>
      <c r="E44" s="12" t="s">
        <v>26</v>
      </c>
      <c r="F44" s="6">
        <f t="shared" si="0"/>
        <v>3</v>
      </c>
    </row>
    <row r="45" spans="1:6" x14ac:dyDescent="0.25">
      <c r="A45" s="15">
        <v>46125</v>
      </c>
      <c r="B45" s="2" t="s">
        <v>8</v>
      </c>
      <c r="C45" s="4">
        <v>5</v>
      </c>
      <c r="D45" s="6">
        <v>4</v>
      </c>
      <c r="E45" s="12" t="s">
        <v>26</v>
      </c>
      <c r="F45" s="6">
        <f t="shared" si="0"/>
        <v>20</v>
      </c>
    </row>
  </sheetData>
  <sortState ref="L1:L3">
    <sortCondition ref="L1"/>
  </sortState>
  <dataValidations count="1">
    <dataValidation type="list" allowBlank="1" showInputMessage="1" showErrorMessage="1" sqref="E2:E45" xr:uid="{89BD3EF2-F1FD-4FD1-AC78-FF4A62C20C70}">
      <formula1>$L$1:$L$3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</dc:creator>
  <cp:lastModifiedBy>Nada</cp:lastModifiedBy>
  <dcterms:created xsi:type="dcterms:W3CDTF">2026-03-15T22:40:53Z</dcterms:created>
  <dcterms:modified xsi:type="dcterms:W3CDTF">2026-03-16T00:45:27Z</dcterms:modified>
</cp:coreProperties>
</file>