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da\Documents\IEEE-CS-DataScience-26\Task-10\"/>
    </mc:Choice>
  </mc:AlternateContent>
  <xr:revisionPtr revIDLastSave="0" documentId="8_{4F0FD6A3-5BBC-4171-BA62-4C2AF66C06ED}" xr6:coauthVersionLast="44" xr6:coauthVersionMax="44" xr10:uidLastSave="{00000000-0000-0000-0000-000000000000}"/>
  <bookViews>
    <workbookView xWindow="-120" yWindow="-120" windowWidth="20730" windowHeight="11160" activeTab="3" xr2:uid="{00000000-000D-0000-FFFF-FFFF00000000}"/>
  </bookViews>
  <sheets>
    <sheet name="data" sheetId="1" r:id="rId1"/>
    <sheet name="Bouns" sheetId="2" r:id="rId2"/>
    <sheet name="Pivot table1" sheetId="7" r:id="rId3"/>
    <sheet name="Pivot table2" sheetId="8" r:id="rId4"/>
  </sheets>
  <calcPr calcId="191028"/>
  <pivotCaches>
    <pivotCache cacheId="12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K2" i="1" l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I2" i="1"/>
  <c r="J2" i="1" s="1"/>
  <c r="I3" i="1"/>
  <c r="J3" i="1" s="1"/>
  <c r="I4" i="1"/>
  <c r="J4" i="1" s="1"/>
  <c r="I5" i="1"/>
  <c r="J5" i="1" s="1"/>
  <c r="I6" i="1"/>
  <c r="J6" i="1" s="1"/>
  <c r="I7" i="1"/>
  <c r="J7" i="1" s="1"/>
  <c r="I8" i="1"/>
  <c r="J8" i="1" s="1"/>
  <c r="I9" i="1"/>
  <c r="J9" i="1" s="1"/>
  <c r="I10" i="1"/>
  <c r="J10" i="1" s="1"/>
  <c r="I11" i="1"/>
  <c r="J11" i="1" s="1"/>
  <c r="I12" i="1"/>
  <c r="J12" i="1" s="1"/>
  <c r="I13" i="1"/>
  <c r="J13" i="1" s="1"/>
  <c r="I14" i="1"/>
  <c r="J14" i="1" s="1"/>
  <c r="I15" i="1"/>
  <c r="J15" i="1" s="1"/>
  <c r="I16" i="1"/>
  <c r="J16" i="1" s="1"/>
  <c r="I17" i="1"/>
  <c r="J17" i="1" s="1"/>
  <c r="I18" i="1"/>
  <c r="J18" i="1" s="1"/>
  <c r="I19" i="1"/>
  <c r="J19" i="1" s="1"/>
  <c r="I20" i="1"/>
  <c r="J20" i="1" s="1"/>
  <c r="I21" i="1"/>
  <c r="J21" i="1" s="1"/>
  <c r="I22" i="1"/>
  <c r="J22" i="1" s="1"/>
  <c r="I23" i="1"/>
  <c r="J23" i="1" s="1"/>
  <c r="I24" i="1"/>
  <c r="J24" i="1" s="1"/>
  <c r="I25" i="1"/>
  <c r="J25" i="1" s="1"/>
  <c r="I26" i="1"/>
  <c r="J26" i="1" s="1"/>
  <c r="I27" i="1"/>
  <c r="J27" i="1" s="1"/>
  <c r="I28" i="1"/>
  <c r="J28" i="1" s="1"/>
  <c r="I29" i="1"/>
  <c r="J29" i="1" s="1"/>
  <c r="I30" i="1"/>
  <c r="J30" i="1" s="1"/>
  <c r="I31" i="1"/>
  <c r="J31" i="1" s="1"/>
  <c r="I32" i="1"/>
  <c r="J32" i="1" s="1"/>
  <c r="I33" i="1"/>
  <c r="J33" i="1" s="1"/>
  <c r="I34" i="1"/>
  <c r="J34" i="1" s="1"/>
  <c r="I35" i="1"/>
  <c r="J35" i="1" s="1"/>
  <c r="I36" i="1"/>
  <c r="J36" i="1" s="1"/>
  <c r="I37" i="1"/>
  <c r="J37" i="1" s="1"/>
  <c r="I38" i="1"/>
  <c r="J38" i="1" s="1"/>
  <c r="I39" i="1"/>
  <c r="J39" i="1" s="1"/>
  <c r="I40" i="1"/>
  <c r="J40" i="1" s="1"/>
  <c r="I41" i="1"/>
  <c r="J41" i="1" s="1"/>
  <c r="I42" i="1"/>
  <c r="J42" i="1" s="1"/>
  <c r="I43" i="1"/>
  <c r="J43" i="1" s="1"/>
  <c r="I44" i="1"/>
  <c r="J44" i="1" s="1"/>
  <c r="I45" i="1"/>
  <c r="J45" i="1" s="1"/>
  <c r="I46" i="1"/>
  <c r="J46" i="1" s="1"/>
  <c r="I47" i="1"/>
  <c r="J47" i="1" s="1"/>
  <c r="I48" i="1"/>
  <c r="J48" i="1" s="1"/>
  <c r="I49" i="1"/>
  <c r="J49" i="1" s="1"/>
  <c r="I50" i="1"/>
  <c r="J50" i="1" s="1"/>
  <c r="I51" i="1"/>
  <c r="J51" i="1" s="1"/>
</calcChain>
</file>

<file path=xl/sharedStrings.xml><?xml version="1.0" encoding="utf-8"?>
<sst xmlns="http://schemas.openxmlformats.org/spreadsheetml/2006/main" count="253" uniqueCount="50">
  <si>
    <t xml:space="preserve">Date </t>
  </si>
  <si>
    <t xml:space="preserve">Drink </t>
  </si>
  <si>
    <t>Category</t>
  </si>
  <si>
    <t xml:space="preserve">Quantity </t>
  </si>
  <si>
    <t>Cost per Unit</t>
  </si>
  <si>
    <t xml:space="preserve">Price </t>
  </si>
  <si>
    <t>Salesperson</t>
  </si>
  <si>
    <t>Store Location</t>
  </si>
  <si>
    <t>Revenue</t>
  </si>
  <si>
    <t>Sales level</t>
  </si>
  <si>
    <t>Bouns rate</t>
  </si>
  <si>
    <t>Cappuccino</t>
  </si>
  <si>
    <t>Cold Coffee</t>
  </si>
  <si>
    <t>Omar</t>
  </si>
  <si>
    <t>Dokki</t>
  </si>
  <si>
    <t>Mocha</t>
  </si>
  <si>
    <t>Sara</t>
  </si>
  <si>
    <t>Heliopolis</t>
  </si>
  <si>
    <t>Iced Coffee</t>
  </si>
  <si>
    <t>Khaled</t>
  </si>
  <si>
    <t>Zamalek</t>
  </si>
  <si>
    <t>Hot Coffee</t>
  </si>
  <si>
    <t>Latte</t>
  </si>
  <si>
    <t>Special Drinks</t>
  </si>
  <si>
    <t>Maadi</t>
  </si>
  <si>
    <t>Espresso</t>
  </si>
  <si>
    <t>Ahmed</t>
  </si>
  <si>
    <t>Spanish Latte</t>
  </si>
  <si>
    <t>Mona</t>
  </si>
  <si>
    <t>Caramel Macchiato</t>
  </si>
  <si>
    <t>Bonus Rate</t>
  </si>
  <si>
    <t>Sales Person</t>
  </si>
  <si>
    <t>Sales Location</t>
  </si>
  <si>
    <t>Sum of Revenue</t>
  </si>
  <si>
    <t>Sum of Bouns Amount</t>
  </si>
  <si>
    <t>Row Labels</t>
  </si>
  <si>
    <t xml:space="preserve">Sum of Quantity </t>
  </si>
  <si>
    <t>Grand Total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</si>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</sst>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[$-F800]dddd\,\ mmmm\ dd\,\ yyyy"/>
  </numFmts>
  <fonts count="4" x14ac:knownFonts="1">
    <font>
      <sz val="11"/>
      <name val="Arial"/>
      <family val="1"/>
    </font>
    <font>
      <b/>
      <sz val="11"/>
      <color theme="7" tint="-0.249977111117893"/>
      <name val="Arial"/>
      <family val="2"/>
    </font>
    <font>
      <b/>
      <sz val="13"/>
      <color rgb="FF000000"/>
      <name val="Arial"/>
      <family val="2"/>
    </font>
    <font>
      <sz val="13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 indent="4"/>
    </xf>
    <xf numFmtId="9" fontId="3" fillId="0" borderId="1" xfId="0" applyNumberFormat="1" applyFont="1" applyBorder="1" applyAlignment="1">
      <alignment horizontal="left" vertical="center" wrapText="1" indent="4"/>
    </xf>
    <xf numFmtId="9" fontId="1" fillId="0" borderId="0" xfId="0" applyNumberFormat="1" applyFont="1"/>
    <xf numFmtId="9" fontId="0" fillId="0" borderId="0" xfId="0" applyNumberFormat="1" applyAlignment="1">
      <alignment wrapText="1"/>
    </xf>
    <xf numFmtId="9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4" fontId="0" fillId="0" borderId="0" xfId="0" applyNumberFormat="1"/>
    <xf numFmtId="166" fontId="1" fillId="0" borderId="0" xfId="0" applyNumberFormat="1" applyFont="1"/>
    <xf numFmtId="166" fontId="0" fillId="0" borderId="0" xfId="0" applyNumberFormat="1"/>
  </cellXfs>
  <cellStyles count="1">
    <cellStyle name="Normal" xfId="0" builtinId="0"/>
  </cellStyles>
  <dxfs count="8">
    <dxf>
      <numFmt numFmtId="13" formatCode="0%"/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7" tint="-0.249977111117893"/>
        <name val="Arial"/>
        <family val="2"/>
        <scheme val="none"/>
      </font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da" refreshedDate="46107.019934953707" createdVersion="6" refreshedVersion="6" minRefreshableVersion="3" recordCount="50" xr:uid="{C84C61DB-91B0-4796-9D4A-72B987FBF31F}">
  <cacheSource type="worksheet">
    <worksheetSource name="Table1"/>
  </cacheSource>
  <cacheFields count="12">
    <cacheField name="Date " numFmtId="0">
      <sharedItems containsSemiMixedTypes="0" containsNonDate="0" containsDate="1" containsString="0" minDate="2025-02-06T00:00:00" maxDate="2026-11-02T00:00:00" count="60">
        <d v="2026-08-02T00:00:00"/>
        <d v="2025-09-21T00:00:00"/>
        <d v="2025-08-16T00:00:00"/>
        <d v="2025-12-16T00:00:00"/>
        <d v="2025-04-07T00:00:00"/>
        <d v="2025-07-09T00:00:00"/>
        <d v="2025-11-21T00:00:00"/>
        <d v="2025-11-20T00:00:00"/>
        <d v="2025-10-26T00:00:00"/>
        <d v="2025-05-08T00:00:00"/>
        <d v="2025-04-29T00:00:00"/>
        <d v="2025-07-19T00:00:00"/>
        <d v="2025-05-14T00:00:00"/>
        <d v="2025-02-12T00:00:00"/>
        <d v="2025-10-21T00:00:00"/>
        <d v="2025-06-21T00:00:00"/>
        <d v="2025-09-23T00:00:00"/>
        <d v="2026-03-03T00:00:00"/>
        <d v="2025-09-12T00:00:00"/>
        <d v="2025-06-04T00:00:00"/>
        <d v="2025-03-23T00:00:00"/>
        <d v="2026-02-25T00:00:00"/>
        <d v="2025-09-22T00:00:00"/>
        <d v="2025-04-22T00:00:00"/>
        <d v="2025-03-26T00:00:00"/>
        <d v="2025-06-28T00:00:00"/>
        <d v="2025-07-04T00:00:00"/>
        <d v="2025-05-17T00:00:00"/>
        <d v="2026-08-01T00:00:00"/>
        <d v="2025-11-04T00:00:00"/>
        <d v="2025-07-27T00:00:00"/>
        <d v="2025-03-24T00:00:00"/>
        <d v="2025-09-19T00:00:00"/>
        <d v="2025-07-08T00:00:00"/>
        <d v="2025-02-06T00:00:00"/>
        <d v="2025-09-25T00:00:00"/>
        <d v="2026-11-01T00:00:00"/>
        <d v="2025-08-10T00:00:00"/>
        <d v="2026-01-31T00:00:00"/>
        <d v="2025-10-23T00:00:00"/>
        <d v="2025-08-24T00:00:00"/>
        <d v="2025-12-17T00:00:00"/>
        <d v="2026-04-01T00:00:00"/>
        <d v="2026-06-01T00:00:00"/>
        <d v="2025-12-26T00:00:00"/>
        <d v="2025-12-20T00:00:00"/>
        <d v="2026-01-11T00:00:00" u="1"/>
        <d v="2026-01-04T00:00:00" u="1"/>
        <d v="2025-12-09T00:00:00" u="1"/>
        <d v="2025-12-02T00:00:00" u="1"/>
        <d v="2025-09-07T00:00:00" u="1"/>
        <d v="2025-04-06T00:00:00" u="1"/>
        <d v="2025-08-07T00:00:00" u="1"/>
        <d v="2026-02-08T00:00:00" u="1"/>
        <d v="2025-04-11T00:00:00" u="1"/>
        <d v="2025-06-02T00:00:00" u="1"/>
        <d v="2026-01-08T00:00:00" u="1"/>
        <d v="2025-08-05T00:00:00" u="1"/>
        <d v="2025-10-08T00:00:00" u="1"/>
        <d v="2026-01-06T00:00:00" u="1"/>
      </sharedItems>
      <fieldGroup base="0">
        <rangePr groupBy="months" startDate="2025-02-06T00:00:00" endDate="2026-11-02T00:00:00"/>
        <groupItems count="14">
          <s v="&lt;2/6/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1/2/2026"/>
        </groupItems>
      </fieldGroup>
    </cacheField>
    <cacheField name="Drink " numFmtId="0">
      <sharedItems/>
    </cacheField>
    <cacheField name="Category" numFmtId="0">
      <sharedItems/>
    </cacheField>
    <cacheField name="Quantity " numFmtId="0">
      <sharedItems containsSemiMixedTypes="0" containsString="0" containsNumber="1" containsInteger="1" minValue="1" maxValue="10"/>
    </cacheField>
    <cacheField name="Cost per Unit" numFmtId="0">
      <sharedItems containsSemiMixedTypes="0" containsString="0" containsNumber="1" containsInteger="1" minValue="21" maxValue="50"/>
    </cacheField>
    <cacheField name="Price " numFmtId="0">
      <sharedItems containsSemiMixedTypes="0" containsString="0" containsNumber="1" containsInteger="1" minValue="60" maxValue="120"/>
    </cacheField>
    <cacheField name="Salesperson" numFmtId="0">
      <sharedItems count="5">
        <s v="Omar"/>
        <s v="Sara"/>
        <s v="Khaled"/>
        <s v="Ahmed"/>
        <s v="Mona"/>
      </sharedItems>
    </cacheField>
    <cacheField name="Store Location" numFmtId="0">
      <sharedItems count="4">
        <s v="Dokki"/>
        <s v="Heliopolis"/>
        <s v="Zamalek"/>
        <s v="Maadi"/>
      </sharedItems>
    </cacheField>
    <cacheField name="Revenue" numFmtId="0">
      <sharedItems containsSemiMixedTypes="0" containsString="0" containsNumber="1" containsInteger="1" minValue="69" maxValue="1050"/>
    </cacheField>
    <cacheField name="Sales level" numFmtId="0">
      <sharedItems/>
    </cacheField>
    <cacheField name="Bouns rate" numFmtId="9">
      <sharedItems containsMixedTypes="1" containsNumber="1" minValue="0.04" maxValue="0.06"/>
    </cacheField>
    <cacheField name="Bouns Amount" numFmtId="0" formula="Revenue*'Bouns rate'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x v="0"/>
    <s v="Cappuccino"/>
    <s v="Cold Coffee"/>
    <n v="4"/>
    <n v="27"/>
    <n v="120"/>
    <x v="0"/>
    <x v="0"/>
    <n v="480"/>
    <s v="Normal"/>
    <s v="Not Found"/>
  </r>
  <r>
    <x v="1"/>
    <s v="Mocha"/>
    <s v="Cold Coffee"/>
    <n v="6"/>
    <n v="42"/>
    <n v="118"/>
    <x v="1"/>
    <x v="1"/>
    <n v="708"/>
    <s v="High"/>
    <n v="0.04"/>
  </r>
  <r>
    <x v="2"/>
    <s v="Iced Coffee"/>
    <s v="Cold Coffee"/>
    <n v="1"/>
    <n v="49"/>
    <n v="118"/>
    <x v="2"/>
    <x v="2"/>
    <n v="118"/>
    <s v="Normal"/>
    <n v="0.05"/>
  </r>
  <r>
    <x v="3"/>
    <s v="Mocha"/>
    <s v="Cold Coffee"/>
    <n v="8"/>
    <n v="21"/>
    <n v="116"/>
    <x v="0"/>
    <x v="0"/>
    <n v="928"/>
    <s v="High"/>
    <s v="Not Found"/>
  </r>
  <r>
    <x v="4"/>
    <s v="Cappuccino"/>
    <s v="Cold Coffee"/>
    <n v="9"/>
    <n v="49"/>
    <n v="114"/>
    <x v="1"/>
    <x v="0"/>
    <n v="1026"/>
    <s v="High"/>
    <n v="0.04"/>
  </r>
  <r>
    <x v="5"/>
    <s v="Cappuccino"/>
    <s v="Hot Coffee"/>
    <n v="6"/>
    <n v="50"/>
    <n v="113"/>
    <x v="1"/>
    <x v="0"/>
    <n v="678"/>
    <s v="High"/>
    <n v="0.04"/>
  </r>
  <r>
    <x v="6"/>
    <s v="Latte"/>
    <s v="Hot Coffee"/>
    <n v="6"/>
    <n v="37"/>
    <n v="113"/>
    <x v="0"/>
    <x v="1"/>
    <n v="678"/>
    <s v="High"/>
    <s v="Not Found"/>
  </r>
  <r>
    <x v="7"/>
    <s v="Iced Coffee"/>
    <s v="Special Drinks"/>
    <n v="4"/>
    <n v="48"/>
    <n v="112"/>
    <x v="0"/>
    <x v="3"/>
    <n v="448"/>
    <s v="Normal"/>
    <s v="Not Found"/>
  </r>
  <r>
    <x v="8"/>
    <s v="Espresso"/>
    <s v="Cold Coffee"/>
    <n v="1"/>
    <n v="33"/>
    <n v="110"/>
    <x v="2"/>
    <x v="0"/>
    <n v="110"/>
    <s v="Normal"/>
    <n v="0.05"/>
  </r>
  <r>
    <x v="9"/>
    <s v="Espresso"/>
    <s v="Hot Coffee"/>
    <n v="5"/>
    <n v="23"/>
    <n v="109"/>
    <x v="2"/>
    <x v="1"/>
    <n v="545"/>
    <s v="Normal"/>
    <n v="0.05"/>
  </r>
  <r>
    <x v="10"/>
    <s v="Mocha"/>
    <s v="Hot Coffee"/>
    <n v="1"/>
    <n v="42"/>
    <n v="109"/>
    <x v="1"/>
    <x v="1"/>
    <n v="109"/>
    <s v="Normal"/>
    <n v="0.04"/>
  </r>
  <r>
    <x v="11"/>
    <s v="Espresso"/>
    <s v="Cold Coffee"/>
    <n v="9"/>
    <n v="49"/>
    <n v="108"/>
    <x v="3"/>
    <x v="2"/>
    <n v="972"/>
    <s v="High"/>
    <n v="0.05"/>
  </r>
  <r>
    <x v="12"/>
    <s v="Latte"/>
    <s v="Cold Coffee"/>
    <n v="8"/>
    <n v="47"/>
    <n v="106"/>
    <x v="3"/>
    <x v="2"/>
    <n v="848"/>
    <s v="High"/>
    <n v="0.05"/>
  </r>
  <r>
    <x v="13"/>
    <s v="Cappuccino"/>
    <s v="Hot Coffee"/>
    <n v="10"/>
    <n v="30"/>
    <n v="105"/>
    <x v="2"/>
    <x v="1"/>
    <n v="1050"/>
    <s v="High"/>
    <n v="0.05"/>
  </r>
  <r>
    <x v="14"/>
    <s v="Spanish Latte"/>
    <s v="Cold Coffee"/>
    <n v="7"/>
    <n v="45"/>
    <n v="104"/>
    <x v="1"/>
    <x v="2"/>
    <n v="728"/>
    <s v="High"/>
    <n v="0.04"/>
  </r>
  <r>
    <x v="15"/>
    <s v="Latte"/>
    <s v="Hot Coffee"/>
    <n v="1"/>
    <n v="41"/>
    <n v="103"/>
    <x v="2"/>
    <x v="1"/>
    <n v="103"/>
    <s v="Normal"/>
    <n v="0.05"/>
  </r>
  <r>
    <x v="16"/>
    <s v="Espresso"/>
    <s v="Hot Coffee"/>
    <n v="10"/>
    <n v="23"/>
    <n v="103"/>
    <x v="4"/>
    <x v="2"/>
    <n v="1030"/>
    <s v="High"/>
    <n v="0.06"/>
  </r>
  <r>
    <x v="17"/>
    <s v="Espresso"/>
    <s v="Special Drinks"/>
    <n v="6"/>
    <n v="32"/>
    <n v="102"/>
    <x v="1"/>
    <x v="3"/>
    <n v="612"/>
    <s v="High"/>
    <n v="0.04"/>
  </r>
  <r>
    <x v="18"/>
    <s v="Caramel Macchiato"/>
    <s v="Special Drinks"/>
    <n v="5"/>
    <n v="43"/>
    <n v="101"/>
    <x v="4"/>
    <x v="0"/>
    <n v="505"/>
    <s v="Normal"/>
    <n v="0.06"/>
  </r>
  <r>
    <x v="19"/>
    <s v="Spanish Latte"/>
    <s v="Hot Coffee"/>
    <n v="9"/>
    <n v="48"/>
    <n v="101"/>
    <x v="1"/>
    <x v="2"/>
    <n v="909"/>
    <s v="High"/>
    <n v="0.04"/>
  </r>
  <r>
    <x v="20"/>
    <s v="Espresso"/>
    <s v="Cold Coffee"/>
    <n v="1"/>
    <n v="45"/>
    <n v="101"/>
    <x v="1"/>
    <x v="2"/>
    <n v="101"/>
    <s v="Normal"/>
    <n v="0.04"/>
  </r>
  <r>
    <x v="21"/>
    <s v="Espresso"/>
    <s v="Cold Coffee"/>
    <n v="6"/>
    <n v="40"/>
    <n v="98"/>
    <x v="1"/>
    <x v="0"/>
    <n v="588"/>
    <s v="Normal"/>
    <n v="0.04"/>
  </r>
  <r>
    <x v="22"/>
    <s v="Espresso"/>
    <s v="Special Drinks"/>
    <n v="5"/>
    <n v="21"/>
    <n v="98"/>
    <x v="4"/>
    <x v="3"/>
    <n v="490"/>
    <s v="Normal"/>
    <n v="0.06"/>
  </r>
  <r>
    <x v="23"/>
    <s v="Cappuccino"/>
    <s v="Hot Coffee"/>
    <n v="4"/>
    <n v="34"/>
    <n v="96"/>
    <x v="4"/>
    <x v="0"/>
    <n v="384"/>
    <s v="Normal"/>
    <n v="0.06"/>
  </r>
  <r>
    <x v="24"/>
    <s v="Mocha"/>
    <s v="Cold Coffee"/>
    <n v="6"/>
    <n v="31"/>
    <n v="96"/>
    <x v="4"/>
    <x v="1"/>
    <n v="576"/>
    <s v="Normal"/>
    <n v="0.06"/>
  </r>
  <r>
    <x v="1"/>
    <s v="Spanish Latte"/>
    <s v="Special Drinks"/>
    <n v="9"/>
    <n v="50"/>
    <n v="96"/>
    <x v="1"/>
    <x v="3"/>
    <n v="864"/>
    <s v="High"/>
    <n v="0.04"/>
  </r>
  <r>
    <x v="25"/>
    <s v="Caramel Macchiato"/>
    <s v="Special Drinks"/>
    <n v="5"/>
    <n v="45"/>
    <n v="94"/>
    <x v="4"/>
    <x v="2"/>
    <n v="470"/>
    <s v="Normal"/>
    <n v="0.06"/>
  </r>
  <r>
    <x v="26"/>
    <s v="Cappuccino"/>
    <s v="Special Drinks"/>
    <n v="10"/>
    <n v="26"/>
    <n v="93"/>
    <x v="3"/>
    <x v="0"/>
    <n v="930"/>
    <s v="High"/>
    <n v="0.05"/>
  </r>
  <r>
    <x v="27"/>
    <s v="Mocha"/>
    <s v="Special Drinks"/>
    <n v="1"/>
    <n v="43"/>
    <n v="93"/>
    <x v="1"/>
    <x v="3"/>
    <n v="93"/>
    <s v="Normal"/>
    <n v="0.04"/>
  </r>
  <r>
    <x v="28"/>
    <s v="Caramel Macchiato"/>
    <s v="Special Drinks"/>
    <n v="3"/>
    <n v="38"/>
    <n v="93"/>
    <x v="1"/>
    <x v="3"/>
    <n v="279"/>
    <s v="Normal"/>
    <n v="0.04"/>
  </r>
  <r>
    <x v="29"/>
    <s v="Caramel Macchiato"/>
    <s v="Special Drinks"/>
    <n v="7"/>
    <n v="39"/>
    <n v="93"/>
    <x v="0"/>
    <x v="2"/>
    <n v="651"/>
    <s v="High"/>
    <s v="Not Found"/>
  </r>
  <r>
    <x v="30"/>
    <s v="Spanish Latte"/>
    <s v="Hot Coffee"/>
    <n v="7"/>
    <n v="22"/>
    <n v="92"/>
    <x v="3"/>
    <x v="3"/>
    <n v="644"/>
    <s v="High"/>
    <n v="0.05"/>
  </r>
  <r>
    <x v="31"/>
    <s v="Iced Coffee"/>
    <s v="Cold Coffee"/>
    <n v="7"/>
    <n v="49"/>
    <n v="88"/>
    <x v="2"/>
    <x v="1"/>
    <n v="616"/>
    <s v="High"/>
    <n v="0.05"/>
  </r>
  <r>
    <x v="32"/>
    <s v="Mocha"/>
    <s v="Hot Coffee"/>
    <n v="6"/>
    <n v="38"/>
    <n v="81"/>
    <x v="3"/>
    <x v="2"/>
    <n v="486"/>
    <s v="Normal"/>
    <n v="0.05"/>
  </r>
  <r>
    <x v="33"/>
    <s v="Caramel Macchiato"/>
    <s v="Special Drinks"/>
    <n v="5"/>
    <n v="43"/>
    <n v="78"/>
    <x v="4"/>
    <x v="1"/>
    <n v="390"/>
    <s v="Normal"/>
    <n v="0.06"/>
  </r>
  <r>
    <x v="34"/>
    <s v="Espresso"/>
    <s v="Special Drinks"/>
    <n v="1"/>
    <n v="40"/>
    <n v="78"/>
    <x v="2"/>
    <x v="3"/>
    <n v="78"/>
    <s v="Normal"/>
    <n v="0.05"/>
  </r>
  <r>
    <x v="35"/>
    <s v="Spanish Latte"/>
    <s v="Cold Coffee"/>
    <n v="5"/>
    <n v="43"/>
    <n v="72"/>
    <x v="3"/>
    <x v="2"/>
    <n v="360"/>
    <s v="Normal"/>
    <n v="0.05"/>
  </r>
  <r>
    <x v="36"/>
    <s v="Mocha"/>
    <s v="Special Drinks"/>
    <n v="1"/>
    <n v="40"/>
    <n v="71"/>
    <x v="1"/>
    <x v="2"/>
    <n v="71"/>
    <s v="Normal"/>
    <n v="0.04"/>
  </r>
  <r>
    <x v="37"/>
    <s v="Cappuccino"/>
    <s v="Hot Coffee"/>
    <n v="5"/>
    <n v="26"/>
    <n v="71"/>
    <x v="4"/>
    <x v="2"/>
    <n v="355"/>
    <s v="Normal"/>
    <n v="0.06"/>
  </r>
  <r>
    <x v="38"/>
    <s v="Spanish Latte"/>
    <s v="Special Drinks"/>
    <n v="8"/>
    <n v="40"/>
    <n v="70"/>
    <x v="3"/>
    <x v="1"/>
    <n v="560"/>
    <s v="Normal"/>
    <n v="0.05"/>
  </r>
  <r>
    <x v="39"/>
    <s v="Latte"/>
    <s v="Special Drinks"/>
    <n v="7"/>
    <n v="33"/>
    <n v="70"/>
    <x v="0"/>
    <x v="3"/>
    <n v="490"/>
    <s v="Normal"/>
    <s v="Not Found"/>
  </r>
  <r>
    <x v="24"/>
    <s v="Latte"/>
    <s v="Cold Coffee"/>
    <n v="4"/>
    <n v="31"/>
    <n v="69"/>
    <x v="1"/>
    <x v="0"/>
    <n v="276"/>
    <s v="Normal"/>
    <n v="0.04"/>
  </r>
  <r>
    <x v="40"/>
    <s v="Iced Coffee"/>
    <s v="Special Drinks"/>
    <n v="3"/>
    <n v="24"/>
    <n v="69"/>
    <x v="1"/>
    <x v="1"/>
    <n v="207"/>
    <s v="Normal"/>
    <n v="0.04"/>
  </r>
  <r>
    <x v="41"/>
    <s v="Mocha"/>
    <s v="Cold Coffee"/>
    <n v="1"/>
    <n v="34"/>
    <n v="69"/>
    <x v="2"/>
    <x v="3"/>
    <n v="69"/>
    <s v="Normal"/>
    <n v="0.05"/>
  </r>
  <r>
    <x v="42"/>
    <s v="Latte"/>
    <s v="Cold Coffee"/>
    <n v="9"/>
    <n v="28"/>
    <n v="66"/>
    <x v="0"/>
    <x v="0"/>
    <n v="594"/>
    <s v="Normal"/>
    <s v="Not Found"/>
  </r>
  <r>
    <x v="43"/>
    <s v="Espresso"/>
    <s v="Cold Coffee"/>
    <n v="5"/>
    <n v="50"/>
    <n v="66"/>
    <x v="4"/>
    <x v="0"/>
    <n v="330"/>
    <s v="Normal"/>
    <n v="0.06"/>
  </r>
  <r>
    <x v="44"/>
    <s v="Espresso"/>
    <s v="Hot Coffee"/>
    <n v="7"/>
    <n v="22"/>
    <n v="65"/>
    <x v="4"/>
    <x v="3"/>
    <n v="455"/>
    <s v="Normal"/>
    <n v="0.06"/>
  </r>
  <r>
    <x v="45"/>
    <s v="Spanish Latte"/>
    <s v="Special Drinks"/>
    <n v="10"/>
    <n v="29"/>
    <n v="63"/>
    <x v="3"/>
    <x v="1"/>
    <n v="630"/>
    <s v="High"/>
    <n v="0.05"/>
  </r>
  <r>
    <x v="30"/>
    <s v="Mocha"/>
    <s v="Special Drinks"/>
    <n v="3"/>
    <n v="32"/>
    <n v="63"/>
    <x v="1"/>
    <x v="3"/>
    <n v="189"/>
    <s v="Normal"/>
    <n v="0.04"/>
  </r>
  <r>
    <x v="37"/>
    <s v="Mocha"/>
    <s v="Special Drinks"/>
    <n v="3"/>
    <n v="32"/>
    <n v="60"/>
    <x v="4"/>
    <x v="3"/>
    <n v="180"/>
    <s v="Normal"/>
    <n v="0.0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B35DCD-DDF7-43C2-A133-4E37864041FB}" name="PivotTable4" cacheId="12" applyNumberFormats="0" applyBorderFormats="0" applyFontFormats="0" applyPatternFormats="0" applyAlignmentFormats="0" applyWidthHeightFormats="1" dataCaption="Values" updatedVersion="6" minRefreshableVersion="3" useAutoFormatting="1" rowGrandTotals="0" colGrandTotals="0" itemPrintTitles="1" createdVersion="6" indent="0" outline="1" outlineData="1" multipleFieldFilters="0" rowHeaderCaption="Sales Location" colHeaderCaption="Sales Person">
  <location ref="A1:K7" firstHeaderRow="1" firstDataRow="3" firstDataCol="1"/>
  <pivotFields count="12"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/>
    <pivotField axis="axisCol" showAll="0">
      <items count="6">
        <item x="3"/>
        <item x="2"/>
        <item x="4"/>
        <item x="0"/>
        <item x="1"/>
        <item t="default"/>
      </items>
    </pivotField>
    <pivotField axis="axisRow" showAll="0">
      <items count="5">
        <item x="0"/>
        <item x="1"/>
        <item x="3"/>
        <item x="2"/>
        <item t="default"/>
      </items>
    </pivotField>
    <pivotField dataField="1" showAll="0"/>
    <pivotField showAll="0"/>
    <pivotField showAll="0"/>
    <pivotField dataField="1" dragToRow="0" dragToCol="0" dragToPage="0" showAll="0" defaultSubtotal="0"/>
  </pivotFields>
  <rowFields count="1">
    <field x="7"/>
  </rowFields>
  <rowItems count="4">
    <i>
      <x/>
    </i>
    <i>
      <x v="1"/>
    </i>
    <i>
      <x v="2"/>
    </i>
    <i>
      <x v="3"/>
    </i>
  </rowItems>
  <colFields count="2">
    <field x="6"/>
    <field x="-2"/>
  </colFields>
  <colItems count="10">
    <i>
      <x/>
      <x/>
    </i>
    <i r="1" i="1">
      <x v="1"/>
    </i>
    <i>
      <x v="1"/>
      <x/>
    </i>
    <i r="1" i="1">
      <x v="1"/>
    </i>
    <i>
      <x v="2"/>
      <x/>
    </i>
    <i r="1" i="1">
      <x v="1"/>
    </i>
    <i>
      <x v="3"/>
      <x/>
    </i>
    <i r="1" i="1">
      <x v="1"/>
    </i>
    <i>
      <x v="4"/>
      <x/>
    </i>
    <i r="1" i="1">
      <x v="1"/>
    </i>
  </colItems>
  <dataFields count="2">
    <dataField name="Sum of Revenue" fld="8" baseField="0" baseItem="0"/>
    <dataField name="Sum of Bouns Amount" fld="1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1B1BB3-BB46-41E4-BD14-57EB1CC4B6E3}" name="PivotTable5" cacheId="1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1:B14" firstHeaderRow="1" firstDataRow="1" firstDataCol="1"/>
  <pivotFields count="12">
    <pivotField axis="axisRow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</pivotFields>
  <rowFields count="1">
    <field x="0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Quantity 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40EC5B5-BF85-4725-8BC6-38C569D5C066}" name="Table1" displayName="Table1" ref="A1:K51" totalsRowShown="0" headerRowDxfId="3">
  <autoFilter ref="A1:K51" xr:uid="{C5EB8454-C74C-4BE7-AF06-24E7856B0211}">
    <filterColumn colId="3">
      <customFilters>
        <customFilter operator="greaterThan" val="5"/>
      </customFilters>
    </filterColumn>
  </autoFilter>
  <tableColumns count="11">
    <tableColumn id="1" xr3:uid="{EA00F37A-90A2-4182-BD99-E41AED526616}" name="Date "/>
    <tableColumn id="2" xr3:uid="{B5154CC8-C012-49BD-A575-B8B51A620BB9}" name="Drink "/>
    <tableColumn id="3" xr3:uid="{80433E4C-59F0-4F6B-B3D2-E7CEAB94206A}" name="Category"/>
    <tableColumn id="4" xr3:uid="{568C4CBC-F55E-46CE-AE87-A5B2C77CE2C9}" name="Quantity "/>
    <tableColumn id="5" xr3:uid="{417BAEDD-E6E8-4837-A508-31C542B8FC75}" name="Cost per Unit"/>
    <tableColumn id="6" xr3:uid="{3382072C-DBBE-4FF4-BD85-D313F8503B52}" name="Price "/>
    <tableColumn id="7" xr3:uid="{45EBFE96-F4EC-44A6-B99C-46EADF252161}" name="Salesperson"/>
    <tableColumn id="8" xr3:uid="{ACD32CE9-96FA-4910-9043-D2D8D771ED9A}" name="Store Location"/>
    <tableColumn id="9" xr3:uid="{48A87886-7C5D-467F-B5DC-9738C56D919A}" name="Revenue" dataDxfId="2">
      <calculatedColumnFormula>Table1[[#This Row],[Quantity ]]*Table1[[#This Row],[Price ]]</calculatedColumnFormula>
    </tableColumn>
    <tableColumn id="10" xr3:uid="{80FF4C10-5838-4179-9739-C8BDBEF255A2}" name="Sales level" dataDxfId="1">
      <calculatedColumnFormula>IF(Table1[[#This Row],[Revenue]]&gt;600,"High","Normal")</calculatedColumnFormula>
    </tableColumn>
    <tableColumn id="11" xr3:uid="{33A615BC-9CB7-4F7C-9DDB-95441168B8CA}" name="Bouns rate" dataDxfId="0">
      <calculatedColumnFormula>_xlfn.XLOOKUP(Table1[[#This Row],[Salesperson]],Bouns!$A$2:$A$5,Bouns!$B$2:$B$5, "Not Found")</calculatedColumnFormula>
    </tableColumn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1"/>
  <sheetViews>
    <sheetView showOutlineSymbols="0" showWhiteSpace="0" topLeftCell="A8" workbookViewId="0">
      <selection activeCell="A8" sqref="A8"/>
    </sheetView>
  </sheetViews>
  <sheetFormatPr defaultRowHeight="14.25" x14ac:dyDescent="0.2"/>
  <cols>
    <col min="1" max="1" width="26.875" style="13" bestFit="1" customWidth="1"/>
    <col min="2" max="2" width="16.75" bestFit="1" customWidth="1"/>
    <col min="3" max="3" width="12.625" bestFit="1" customWidth="1"/>
    <col min="4" max="4" width="10.625" customWidth="1"/>
    <col min="5" max="5" width="14.5" customWidth="1"/>
    <col min="6" max="6" width="7.875" customWidth="1"/>
    <col min="7" max="7" width="13.875" customWidth="1"/>
    <col min="8" max="8" width="15.75" customWidth="1"/>
    <col min="9" max="9" width="11" bestFit="1" customWidth="1"/>
    <col min="10" max="10" width="12.625" bestFit="1" customWidth="1"/>
    <col min="11" max="11" width="36" style="7" bestFit="1" customWidth="1"/>
    <col min="13" max="13" width="11" bestFit="1" customWidth="1"/>
  </cols>
  <sheetData>
    <row r="1" spans="1:11" ht="15" x14ac:dyDescent="0.25">
      <c r="A1" s="1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5" t="s">
        <v>10</v>
      </c>
    </row>
    <row r="2" spans="1:11" hidden="1" x14ac:dyDescent="0.2">
      <c r="A2" s="11">
        <v>46236</v>
      </c>
      <c r="B2" t="s">
        <v>11</v>
      </c>
      <c r="C2" t="s">
        <v>12</v>
      </c>
      <c r="D2">
        <v>4</v>
      </c>
      <c r="E2">
        <v>27</v>
      </c>
      <c r="F2">
        <v>120</v>
      </c>
      <c r="G2" t="s">
        <v>13</v>
      </c>
      <c r="H2" t="s">
        <v>14</v>
      </c>
      <c r="I2">
        <f>Table1[[#This Row],[Quantity ]]*Table1[[#This Row],[Price ]]</f>
        <v>480</v>
      </c>
      <c r="J2" t="str">
        <f>IF(Table1[[#This Row],[Revenue]]&gt;600,"High","Normal")</f>
        <v>Normal</v>
      </c>
      <c r="K2" s="7" t="str">
        <f>_xlfn.XLOOKUP(Table1[[#This Row],[Salesperson]],Bouns!$A$2:$A$5,Bouns!$B$2:$B$5, "Not Found")</f>
        <v>Not Found</v>
      </c>
    </row>
    <row r="3" spans="1:11" x14ac:dyDescent="0.2">
      <c r="A3" s="13">
        <v>45921</v>
      </c>
      <c r="B3" t="s">
        <v>15</v>
      </c>
      <c r="C3" t="s">
        <v>12</v>
      </c>
      <c r="D3">
        <v>6</v>
      </c>
      <c r="E3">
        <v>42</v>
      </c>
      <c r="F3">
        <v>118</v>
      </c>
      <c r="G3" t="s">
        <v>16</v>
      </c>
      <c r="H3" t="s">
        <v>17</v>
      </c>
      <c r="I3">
        <f>Table1[[#This Row],[Quantity ]]*Table1[[#This Row],[Price ]]</f>
        <v>708</v>
      </c>
      <c r="J3" t="str">
        <f>IF(Table1[[#This Row],[Revenue]]&gt;600,"High","Normal")</f>
        <v>High</v>
      </c>
      <c r="K3" s="6">
        <f>_xlfn.XLOOKUP(Table1[[#This Row],[Salesperson]],Bouns!$A$2:$A$5,Bouns!$B$2:$B$5, "Not Found")</f>
        <v>0.04</v>
      </c>
    </row>
    <row r="4" spans="1:11" hidden="1" x14ac:dyDescent="0.2">
      <c r="A4" s="11">
        <v>45885</v>
      </c>
      <c r="B4" t="s">
        <v>18</v>
      </c>
      <c r="C4" t="s">
        <v>12</v>
      </c>
      <c r="D4">
        <v>1</v>
      </c>
      <c r="E4">
        <v>49</v>
      </c>
      <c r="F4">
        <v>118</v>
      </c>
      <c r="G4" t="s">
        <v>19</v>
      </c>
      <c r="H4" t="s">
        <v>20</v>
      </c>
      <c r="I4">
        <f>Table1[[#This Row],[Quantity ]]*Table1[[#This Row],[Price ]]</f>
        <v>118</v>
      </c>
      <c r="J4" t="str">
        <f>IF(Table1[[#This Row],[Revenue]]&gt;600,"High","Normal")</f>
        <v>Normal</v>
      </c>
      <c r="K4" s="7">
        <f>_xlfn.XLOOKUP(Table1[[#This Row],[Salesperson]],Bouns!$A$2:$A$5,Bouns!$B$2:$B$5, "Not Found")</f>
        <v>0.05</v>
      </c>
    </row>
    <row r="5" spans="1:11" x14ac:dyDescent="0.2">
      <c r="A5" s="13">
        <v>46007</v>
      </c>
      <c r="B5" t="s">
        <v>15</v>
      </c>
      <c r="C5" t="s">
        <v>12</v>
      </c>
      <c r="D5">
        <v>8</v>
      </c>
      <c r="E5">
        <v>21</v>
      </c>
      <c r="F5">
        <v>116</v>
      </c>
      <c r="G5" t="s">
        <v>13</v>
      </c>
      <c r="H5" t="s">
        <v>14</v>
      </c>
      <c r="I5">
        <f>Table1[[#This Row],[Quantity ]]*Table1[[#This Row],[Price ]]</f>
        <v>928</v>
      </c>
      <c r="J5" t="str">
        <f>IF(Table1[[#This Row],[Revenue]]&gt;600,"High","Normal")</f>
        <v>High</v>
      </c>
      <c r="K5" s="6" t="str">
        <f>_xlfn.XLOOKUP(Table1[[#This Row],[Salesperson]],Bouns!$A$2:$A$5,Bouns!$B$2:$B$5, "Not Found")</f>
        <v>Not Found</v>
      </c>
    </row>
    <row r="6" spans="1:11" x14ac:dyDescent="0.2">
      <c r="A6" s="13">
        <v>45754</v>
      </c>
      <c r="B6" t="s">
        <v>11</v>
      </c>
      <c r="C6" t="s">
        <v>12</v>
      </c>
      <c r="D6">
        <v>9</v>
      </c>
      <c r="E6">
        <v>49</v>
      </c>
      <c r="F6">
        <v>114</v>
      </c>
      <c r="G6" t="s">
        <v>16</v>
      </c>
      <c r="H6" t="s">
        <v>14</v>
      </c>
      <c r="I6">
        <f>Table1[[#This Row],[Quantity ]]*Table1[[#This Row],[Price ]]</f>
        <v>1026</v>
      </c>
      <c r="J6" t="str">
        <f>IF(Table1[[#This Row],[Revenue]]&gt;600,"High","Normal")</f>
        <v>High</v>
      </c>
      <c r="K6" s="7">
        <f>_xlfn.XLOOKUP(Table1[[#This Row],[Salesperson]],Bouns!$A$2:$A$5,Bouns!$B$2:$B$5, "Not Found")</f>
        <v>0.04</v>
      </c>
    </row>
    <row r="7" spans="1:11" x14ac:dyDescent="0.2">
      <c r="A7" s="13">
        <v>45847</v>
      </c>
      <c r="B7" t="s">
        <v>11</v>
      </c>
      <c r="C7" t="s">
        <v>21</v>
      </c>
      <c r="D7">
        <v>6</v>
      </c>
      <c r="E7">
        <v>50</v>
      </c>
      <c r="F7">
        <v>113</v>
      </c>
      <c r="G7" t="s">
        <v>16</v>
      </c>
      <c r="H7" t="s">
        <v>14</v>
      </c>
      <c r="I7">
        <f>Table1[[#This Row],[Quantity ]]*Table1[[#This Row],[Price ]]</f>
        <v>678</v>
      </c>
      <c r="J7" t="str">
        <f>IF(Table1[[#This Row],[Revenue]]&gt;600,"High","Normal")</f>
        <v>High</v>
      </c>
      <c r="K7" s="7">
        <f>_xlfn.XLOOKUP(Table1[[#This Row],[Salesperson]],Bouns!$A$2:$A$5,Bouns!$B$2:$B$5, "Not Found")</f>
        <v>0.04</v>
      </c>
    </row>
    <row r="8" spans="1:11" x14ac:dyDescent="0.2">
      <c r="A8" s="13">
        <v>45982</v>
      </c>
      <c r="B8" t="s">
        <v>22</v>
      </c>
      <c r="C8" t="s">
        <v>21</v>
      </c>
      <c r="D8">
        <v>6</v>
      </c>
      <c r="E8">
        <v>37</v>
      </c>
      <c r="F8">
        <v>113</v>
      </c>
      <c r="G8" t="s">
        <v>13</v>
      </c>
      <c r="H8" t="s">
        <v>17</v>
      </c>
      <c r="I8">
        <f>Table1[[#This Row],[Quantity ]]*Table1[[#This Row],[Price ]]</f>
        <v>678</v>
      </c>
      <c r="J8" t="str">
        <f>IF(Table1[[#This Row],[Revenue]]&gt;600,"High","Normal")</f>
        <v>High</v>
      </c>
      <c r="K8" s="7" t="str">
        <f>_xlfn.XLOOKUP(Table1[[#This Row],[Salesperson]],Bouns!$A$2:$A$5,Bouns!$B$2:$B$5, "Not Found")</f>
        <v>Not Found</v>
      </c>
    </row>
    <row r="9" spans="1:11" hidden="1" x14ac:dyDescent="0.2">
      <c r="A9" s="11">
        <v>45981</v>
      </c>
      <c r="B9" t="s">
        <v>18</v>
      </c>
      <c r="C9" t="s">
        <v>23</v>
      </c>
      <c r="D9">
        <v>4</v>
      </c>
      <c r="E9">
        <v>48</v>
      </c>
      <c r="F9">
        <v>112</v>
      </c>
      <c r="G9" t="s">
        <v>13</v>
      </c>
      <c r="H9" t="s">
        <v>24</v>
      </c>
      <c r="I9">
        <f>Table1[[#This Row],[Quantity ]]*Table1[[#This Row],[Price ]]</f>
        <v>448</v>
      </c>
      <c r="J9" t="str">
        <f>IF(Table1[[#This Row],[Revenue]]&gt;600,"High","Normal")</f>
        <v>Normal</v>
      </c>
      <c r="K9" s="7" t="str">
        <f>_xlfn.XLOOKUP(Table1[[#This Row],[Salesperson]],Bouns!$A$2:$A$5,Bouns!$B$2:$B$5, "Not Found")</f>
        <v>Not Found</v>
      </c>
    </row>
    <row r="10" spans="1:11" hidden="1" x14ac:dyDescent="0.2">
      <c r="A10" s="11">
        <v>45956</v>
      </c>
      <c r="B10" t="s">
        <v>25</v>
      </c>
      <c r="C10" t="s">
        <v>12</v>
      </c>
      <c r="D10">
        <v>1</v>
      </c>
      <c r="E10">
        <v>33</v>
      </c>
      <c r="F10">
        <v>110</v>
      </c>
      <c r="G10" t="s">
        <v>19</v>
      </c>
      <c r="H10" t="s">
        <v>14</v>
      </c>
      <c r="I10">
        <f>Table1[[#This Row],[Quantity ]]*Table1[[#This Row],[Price ]]</f>
        <v>110</v>
      </c>
      <c r="J10" t="str">
        <f>IF(Table1[[#This Row],[Revenue]]&gt;600,"High","Normal")</f>
        <v>Normal</v>
      </c>
      <c r="K10" s="7">
        <f>_xlfn.XLOOKUP(Table1[[#This Row],[Salesperson]],Bouns!$A$2:$A$5,Bouns!$B$2:$B$5, "Not Found")</f>
        <v>0.05</v>
      </c>
    </row>
    <row r="11" spans="1:11" hidden="1" x14ac:dyDescent="0.2">
      <c r="A11" s="11">
        <v>45785</v>
      </c>
      <c r="B11" t="s">
        <v>25</v>
      </c>
      <c r="C11" t="s">
        <v>21</v>
      </c>
      <c r="D11">
        <v>5</v>
      </c>
      <c r="E11">
        <v>23</v>
      </c>
      <c r="F11">
        <v>109</v>
      </c>
      <c r="G11" t="s">
        <v>19</v>
      </c>
      <c r="H11" t="s">
        <v>17</v>
      </c>
      <c r="I11">
        <f>Table1[[#This Row],[Quantity ]]*Table1[[#This Row],[Price ]]</f>
        <v>545</v>
      </c>
      <c r="J11" t="str">
        <f>IF(Table1[[#This Row],[Revenue]]&gt;600,"High","Normal")</f>
        <v>Normal</v>
      </c>
      <c r="K11" s="7">
        <f>_xlfn.XLOOKUP(Table1[[#This Row],[Salesperson]],Bouns!$A$2:$A$5,Bouns!$B$2:$B$5, "Not Found")</f>
        <v>0.05</v>
      </c>
    </row>
    <row r="12" spans="1:11" hidden="1" x14ac:dyDescent="0.2">
      <c r="A12" s="11">
        <v>45776</v>
      </c>
      <c r="B12" t="s">
        <v>15</v>
      </c>
      <c r="C12" t="s">
        <v>21</v>
      </c>
      <c r="D12">
        <v>1</v>
      </c>
      <c r="E12">
        <v>42</v>
      </c>
      <c r="F12">
        <v>109</v>
      </c>
      <c r="G12" t="s">
        <v>16</v>
      </c>
      <c r="H12" t="s">
        <v>17</v>
      </c>
      <c r="I12">
        <f>Table1[[#This Row],[Quantity ]]*Table1[[#This Row],[Price ]]</f>
        <v>109</v>
      </c>
      <c r="J12" t="str">
        <f>IF(Table1[[#This Row],[Revenue]]&gt;600,"High","Normal")</f>
        <v>Normal</v>
      </c>
      <c r="K12" s="7">
        <f>_xlfn.XLOOKUP(Table1[[#This Row],[Salesperson]],Bouns!$A$2:$A$5,Bouns!$B$2:$B$5, "Not Found")</f>
        <v>0.04</v>
      </c>
    </row>
    <row r="13" spans="1:11" x14ac:dyDescent="0.2">
      <c r="A13" s="13">
        <v>45857</v>
      </c>
      <c r="B13" t="s">
        <v>25</v>
      </c>
      <c r="C13" t="s">
        <v>12</v>
      </c>
      <c r="D13">
        <v>9</v>
      </c>
      <c r="E13">
        <v>49</v>
      </c>
      <c r="F13">
        <v>108</v>
      </c>
      <c r="G13" t="s">
        <v>26</v>
      </c>
      <c r="H13" t="s">
        <v>20</v>
      </c>
      <c r="I13">
        <f>Table1[[#This Row],[Quantity ]]*Table1[[#This Row],[Price ]]</f>
        <v>972</v>
      </c>
      <c r="J13" t="str">
        <f>IF(Table1[[#This Row],[Revenue]]&gt;600,"High","Normal")</f>
        <v>High</v>
      </c>
      <c r="K13" s="7">
        <f>_xlfn.XLOOKUP(Table1[[#This Row],[Salesperson]],Bouns!$A$2:$A$5,Bouns!$B$2:$B$5, "Not Found")</f>
        <v>0.05</v>
      </c>
    </row>
    <row r="14" spans="1:11" x14ac:dyDescent="0.2">
      <c r="A14" s="13">
        <v>45791</v>
      </c>
      <c r="B14" t="s">
        <v>22</v>
      </c>
      <c r="C14" t="s">
        <v>12</v>
      </c>
      <c r="D14">
        <v>8</v>
      </c>
      <c r="E14">
        <v>47</v>
      </c>
      <c r="F14">
        <v>106</v>
      </c>
      <c r="G14" t="s">
        <v>26</v>
      </c>
      <c r="H14" t="s">
        <v>20</v>
      </c>
      <c r="I14">
        <f>Table1[[#This Row],[Quantity ]]*Table1[[#This Row],[Price ]]</f>
        <v>848</v>
      </c>
      <c r="J14" t="str">
        <f>IF(Table1[[#This Row],[Revenue]]&gt;600,"High","Normal")</f>
        <v>High</v>
      </c>
      <c r="K14" s="7">
        <f>_xlfn.XLOOKUP(Table1[[#This Row],[Salesperson]],Bouns!$A$2:$A$5,Bouns!$B$2:$B$5, "Not Found")</f>
        <v>0.05</v>
      </c>
    </row>
    <row r="15" spans="1:11" x14ac:dyDescent="0.2">
      <c r="A15" s="13">
        <v>45700</v>
      </c>
      <c r="B15" t="s">
        <v>11</v>
      </c>
      <c r="C15" t="s">
        <v>21</v>
      </c>
      <c r="D15">
        <v>10</v>
      </c>
      <c r="E15">
        <v>30</v>
      </c>
      <c r="F15">
        <v>105</v>
      </c>
      <c r="G15" t="s">
        <v>19</v>
      </c>
      <c r="H15" t="s">
        <v>17</v>
      </c>
      <c r="I15">
        <f>Table1[[#This Row],[Quantity ]]*Table1[[#This Row],[Price ]]</f>
        <v>1050</v>
      </c>
      <c r="J15" t="str">
        <f>IF(Table1[[#This Row],[Revenue]]&gt;600,"High","Normal")</f>
        <v>High</v>
      </c>
      <c r="K15" s="7">
        <f>_xlfn.XLOOKUP(Table1[[#This Row],[Salesperson]],Bouns!$A$2:$A$5,Bouns!$B$2:$B$5, "Not Found")</f>
        <v>0.05</v>
      </c>
    </row>
    <row r="16" spans="1:11" x14ac:dyDescent="0.2">
      <c r="A16" s="13">
        <v>45951</v>
      </c>
      <c r="B16" t="s">
        <v>27</v>
      </c>
      <c r="C16" t="s">
        <v>12</v>
      </c>
      <c r="D16">
        <v>7</v>
      </c>
      <c r="E16">
        <v>45</v>
      </c>
      <c r="F16">
        <v>104</v>
      </c>
      <c r="G16" t="s">
        <v>16</v>
      </c>
      <c r="H16" t="s">
        <v>20</v>
      </c>
      <c r="I16">
        <f>Table1[[#This Row],[Quantity ]]*Table1[[#This Row],[Price ]]</f>
        <v>728</v>
      </c>
      <c r="J16" t="str">
        <f>IF(Table1[[#This Row],[Revenue]]&gt;600,"High","Normal")</f>
        <v>High</v>
      </c>
      <c r="K16" s="7">
        <f>_xlfn.XLOOKUP(Table1[[#This Row],[Salesperson]],Bouns!$A$2:$A$5,Bouns!$B$2:$B$5, "Not Found")</f>
        <v>0.04</v>
      </c>
    </row>
    <row r="17" spans="1:11" hidden="1" x14ac:dyDescent="0.2">
      <c r="A17" s="11">
        <v>45829</v>
      </c>
      <c r="B17" t="s">
        <v>22</v>
      </c>
      <c r="C17" t="s">
        <v>21</v>
      </c>
      <c r="D17">
        <v>1</v>
      </c>
      <c r="E17">
        <v>41</v>
      </c>
      <c r="F17">
        <v>103</v>
      </c>
      <c r="G17" t="s">
        <v>19</v>
      </c>
      <c r="H17" t="s">
        <v>17</v>
      </c>
      <c r="I17">
        <f>Table1[[#This Row],[Quantity ]]*Table1[[#This Row],[Price ]]</f>
        <v>103</v>
      </c>
      <c r="J17" t="str">
        <f>IF(Table1[[#This Row],[Revenue]]&gt;600,"High","Normal")</f>
        <v>Normal</v>
      </c>
      <c r="K17" s="7">
        <f>_xlfn.XLOOKUP(Table1[[#This Row],[Salesperson]],Bouns!$A$2:$A$5,Bouns!$B$2:$B$5, "Not Found")</f>
        <v>0.05</v>
      </c>
    </row>
    <row r="18" spans="1:11" x14ac:dyDescent="0.2">
      <c r="A18" s="13">
        <v>45923</v>
      </c>
      <c r="B18" t="s">
        <v>25</v>
      </c>
      <c r="C18" t="s">
        <v>21</v>
      </c>
      <c r="D18">
        <v>10</v>
      </c>
      <c r="E18">
        <v>23</v>
      </c>
      <c r="F18">
        <v>103</v>
      </c>
      <c r="G18" t="s">
        <v>28</v>
      </c>
      <c r="H18" t="s">
        <v>20</v>
      </c>
      <c r="I18">
        <f>Table1[[#This Row],[Quantity ]]*Table1[[#This Row],[Price ]]</f>
        <v>1030</v>
      </c>
      <c r="J18" t="str">
        <f>IF(Table1[[#This Row],[Revenue]]&gt;600,"High","Normal")</f>
        <v>High</v>
      </c>
      <c r="K18" s="7">
        <f>_xlfn.XLOOKUP(Table1[[#This Row],[Salesperson]],Bouns!$A$2:$A$5,Bouns!$B$2:$B$5, "Not Found")</f>
        <v>0.06</v>
      </c>
    </row>
    <row r="19" spans="1:11" x14ac:dyDescent="0.2">
      <c r="A19" s="13">
        <v>46084</v>
      </c>
      <c r="B19" t="s">
        <v>25</v>
      </c>
      <c r="C19" t="s">
        <v>23</v>
      </c>
      <c r="D19">
        <v>6</v>
      </c>
      <c r="E19">
        <v>32</v>
      </c>
      <c r="F19">
        <v>102</v>
      </c>
      <c r="G19" t="s">
        <v>16</v>
      </c>
      <c r="H19" t="s">
        <v>24</v>
      </c>
      <c r="I19">
        <f>Table1[[#This Row],[Quantity ]]*Table1[[#This Row],[Price ]]</f>
        <v>612</v>
      </c>
      <c r="J19" t="str">
        <f>IF(Table1[[#This Row],[Revenue]]&gt;600,"High","Normal")</f>
        <v>High</v>
      </c>
      <c r="K19" s="7">
        <f>_xlfn.XLOOKUP(Table1[[#This Row],[Salesperson]],Bouns!$A$2:$A$5,Bouns!$B$2:$B$5, "Not Found")</f>
        <v>0.04</v>
      </c>
    </row>
    <row r="20" spans="1:11" hidden="1" x14ac:dyDescent="0.2">
      <c r="A20" s="11">
        <v>45912</v>
      </c>
      <c r="B20" t="s">
        <v>29</v>
      </c>
      <c r="C20" t="s">
        <v>23</v>
      </c>
      <c r="D20">
        <v>5</v>
      </c>
      <c r="E20">
        <v>43</v>
      </c>
      <c r="F20">
        <v>101</v>
      </c>
      <c r="G20" t="s">
        <v>28</v>
      </c>
      <c r="H20" t="s">
        <v>14</v>
      </c>
      <c r="I20">
        <f>Table1[[#This Row],[Quantity ]]*Table1[[#This Row],[Price ]]</f>
        <v>505</v>
      </c>
      <c r="J20" t="str">
        <f>IF(Table1[[#This Row],[Revenue]]&gt;600,"High","Normal")</f>
        <v>Normal</v>
      </c>
      <c r="K20" s="7">
        <f>_xlfn.XLOOKUP(Table1[[#This Row],[Salesperson]],Bouns!$A$2:$A$5,Bouns!$B$2:$B$5, "Not Found")</f>
        <v>0.06</v>
      </c>
    </row>
    <row r="21" spans="1:11" x14ac:dyDescent="0.2">
      <c r="A21" s="13">
        <v>45812</v>
      </c>
      <c r="B21" t="s">
        <v>27</v>
      </c>
      <c r="C21" t="s">
        <v>21</v>
      </c>
      <c r="D21">
        <v>9</v>
      </c>
      <c r="E21">
        <v>48</v>
      </c>
      <c r="F21">
        <v>101</v>
      </c>
      <c r="G21" t="s">
        <v>16</v>
      </c>
      <c r="H21" t="s">
        <v>20</v>
      </c>
      <c r="I21">
        <f>Table1[[#This Row],[Quantity ]]*Table1[[#This Row],[Price ]]</f>
        <v>909</v>
      </c>
      <c r="J21" t="str">
        <f>IF(Table1[[#This Row],[Revenue]]&gt;600,"High","Normal")</f>
        <v>High</v>
      </c>
      <c r="K21" s="7">
        <f>_xlfn.XLOOKUP(Table1[[#This Row],[Salesperson]],Bouns!$A$2:$A$5,Bouns!$B$2:$B$5, "Not Found")</f>
        <v>0.04</v>
      </c>
    </row>
    <row r="22" spans="1:11" hidden="1" x14ac:dyDescent="0.2">
      <c r="A22" s="11">
        <v>45739</v>
      </c>
      <c r="B22" t="s">
        <v>25</v>
      </c>
      <c r="C22" t="s">
        <v>12</v>
      </c>
      <c r="D22">
        <v>1</v>
      </c>
      <c r="E22">
        <v>45</v>
      </c>
      <c r="F22">
        <v>101</v>
      </c>
      <c r="G22" t="s">
        <v>16</v>
      </c>
      <c r="H22" t="s">
        <v>20</v>
      </c>
      <c r="I22">
        <f>Table1[[#This Row],[Quantity ]]*Table1[[#This Row],[Price ]]</f>
        <v>101</v>
      </c>
      <c r="J22" t="str">
        <f>IF(Table1[[#This Row],[Revenue]]&gt;600,"High","Normal")</f>
        <v>Normal</v>
      </c>
      <c r="K22" s="7">
        <f>_xlfn.XLOOKUP(Table1[[#This Row],[Salesperson]],Bouns!$A$2:$A$5,Bouns!$B$2:$B$5, "Not Found")</f>
        <v>0.04</v>
      </c>
    </row>
    <row r="23" spans="1:11" x14ac:dyDescent="0.2">
      <c r="A23" s="13">
        <v>46078</v>
      </c>
      <c r="B23" t="s">
        <v>25</v>
      </c>
      <c r="C23" t="s">
        <v>12</v>
      </c>
      <c r="D23">
        <v>6</v>
      </c>
      <c r="E23">
        <v>40</v>
      </c>
      <c r="F23">
        <v>98</v>
      </c>
      <c r="G23" t="s">
        <v>16</v>
      </c>
      <c r="H23" t="s">
        <v>14</v>
      </c>
      <c r="I23">
        <f>Table1[[#This Row],[Quantity ]]*Table1[[#This Row],[Price ]]</f>
        <v>588</v>
      </c>
      <c r="J23" t="str">
        <f>IF(Table1[[#This Row],[Revenue]]&gt;600,"High","Normal")</f>
        <v>Normal</v>
      </c>
      <c r="K23" s="7">
        <f>_xlfn.XLOOKUP(Table1[[#This Row],[Salesperson]],Bouns!$A$2:$A$5,Bouns!$B$2:$B$5, "Not Found")</f>
        <v>0.04</v>
      </c>
    </row>
    <row r="24" spans="1:11" hidden="1" x14ac:dyDescent="0.2">
      <c r="A24" s="11">
        <v>45922</v>
      </c>
      <c r="B24" t="s">
        <v>25</v>
      </c>
      <c r="C24" t="s">
        <v>23</v>
      </c>
      <c r="D24">
        <v>5</v>
      </c>
      <c r="E24">
        <v>21</v>
      </c>
      <c r="F24">
        <v>98</v>
      </c>
      <c r="G24" t="s">
        <v>28</v>
      </c>
      <c r="H24" t="s">
        <v>24</v>
      </c>
      <c r="I24">
        <f>Table1[[#This Row],[Quantity ]]*Table1[[#This Row],[Price ]]</f>
        <v>490</v>
      </c>
      <c r="J24" t="str">
        <f>IF(Table1[[#This Row],[Revenue]]&gt;600,"High","Normal")</f>
        <v>Normal</v>
      </c>
      <c r="K24" s="7">
        <f>_xlfn.XLOOKUP(Table1[[#This Row],[Salesperson]],Bouns!$A$2:$A$5,Bouns!$B$2:$B$5, "Not Found")</f>
        <v>0.06</v>
      </c>
    </row>
    <row r="25" spans="1:11" hidden="1" x14ac:dyDescent="0.2">
      <c r="A25" s="11">
        <v>45769</v>
      </c>
      <c r="B25" t="s">
        <v>11</v>
      </c>
      <c r="C25" t="s">
        <v>21</v>
      </c>
      <c r="D25">
        <v>4</v>
      </c>
      <c r="E25">
        <v>34</v>
      </c>
      <c r="F25">
        <v>96</v>
      </c>
      <c r="G25" t="s">
        <v>28</v>
      </c>
      <c r="H25" t="s">
        <v>14</v>
      </c>
      <c r="I25">
        <f>Table1[[#This Row],[Quantity ]]*Table1[[#This Row],[Price ]]</f>
        <v>384</v>
      </c>
      <c r="J25" t="str">
        <f>IF(Table1[[#This Row],[Revenue]]&gt;600,"High","Normal")</f>
        <v>Normal</v>
      </c>
      <c r="K25" s="7">
        <f>_xlfn.XLOOKUP(Table1[[#This Row],[Salesperson]],Bouns!$A$2:$A$5,Bouns!$B$2:$B$5, "Not Found")</f>
        <v>0.06</v>
      </c>
    </row>
    <row r="26" spans="1:11" x14ac:dyDescent="0.2">
      <c r="A26" s="13">
        <v>45742</v>
      </c>
      <c r="B26" t="s">
        <v>15</v>
      </c>
      <c r="C26" t="s">
        <v>12</v>
      </c>
      <c r="D26">
        <v>6</v>
      </c>
      <c r="E26">
        <v>31</v>
      </c>
      <c r="F26">
        <v>96</v>
      </c>
      <c r="G26" t="s">
        <v>28</v>
      </c>
      <c r="H26" t="s">
        <v>17</v>
      </c>
      <c r="I26">
        <f>Table1[[#This Row],[Quantity ]]*Table1[[#This Row],[Price ]]</f>
        <v>576</v>
      </c>
      <c r="J26" t="str">
        <f>IF(Table1[[#This Row],[Revenue]]&gt;600,"High","Normal")</f>
        <v>Normal</v>
      </c>
      <c r="K26" s="7">
        <f>_xlfn.XLOOKUP(Table1[[#This Row],[Salesperson]],Bouns!$A$2:$A$5,Bouns!$B$2:$B$5, "Not Found")</f>
        <v>0.06</v>
      </c>
    </row>
    <row r="27" spans="1:11" x14ac:dyDescent="0.2">
      <c r="A27" s="13">
        <v>45921</v>
      </c>
      <c r="B27" t="s">
        <v>27</v>
      </c>
      <c r="C27" t="s">
        <v>23</v>
      </c>
      <c r="D27">
        <v>9</v>
      </c>
      <c r="E27">
        <v>50</v>
      </c>
      <c r="F27">
        <v>96</v>
      </c>
      <c r="G27" t="s">
        <v>16</v>
      </c>
      <c r="H27" t="s">
        <v>24</v>
      </c>
      <c r="I27">
        <f>Table1[[#This Row],[Quantity ]]*Table1[[#This Row],[Price ]]</f>
        <v>864</v>
      </c>
      <c r="J27" t="str">
        <f>IF(Table1[[#This Row],[Revenue]]&gt;600,"High","Normal")</f>
        <v>High</v>
      </c>
      <c r="K27" s="7">
        <f>_xlfn.XLOOKUP(Table1[[#This Row],[Salesperson]],Bouns!$A$2:$A$5,Bouns!$B$2:$B$5, "Not Found")</f>
        <v>0.04</v>
      </c>
    </row>
    <row r="28" spans="1:11" hidden="1" x14ac:dyDescent="0.2">
      <c r="A28" s="11">
        <v>45836</v>
      </c>
      <c r="B28" t="s">
        <v>29</v>
      </c>
      <c r="C28" t="s">
        <v>23</v>
      </c>
      <c r="D28">
        <v>5</v>
      </c>
      <c r="E28">
        <v>45</v>
      </c>
      <c r="F28">
        <v>94</v>
      </c>
      <c r="G28" t="s">
        <v>28</v>
      </c>
      <c r="H28" t="s">
        <v>20</v>
      </c>
      <c r="I28">
        <f>Table1[[#This Row],[Quantity ]]*Table1[[#This Row],[Price ]]</f>
        <v>470</v>
      </c>
      <c r="J28" t="str">
        <f>IF(Table1[[#This Row],[Revenue]]&gt;600,"High","Normal")</f>
        <v>Normal</v>
      </c>
      <c r="K28" s="7">
        <f>_xlfn.XLOOKUP(Table1[[#This Row],[Salesperson]],Bouns!$A$2:$A$5,Bouns!$B$2:$B$5, "Not Found")</f>
        <v>0.06</v>
      </c>
    </row>
    <row r="29" spans="1:11" x14ac:dyDescent="0.2">
      <c r="A29" s="13">
        <v>45842</v>
      </c>
      <c r="B29" t="s">
        <v>11</v>
      </c>
      <c r="C29" t="s">
        <v>23</v>
      </c>
      <c r="D29">
        <v>10</v>
      </c>
      <c r="E29">
        <v>26</v>
      </c>
      <c r="F29">
        <v>93</v>
      </c>
      <c r="G29" t="s">
        <v>26</v>
      </c>
      <c r="H29" t="s">
        <v>14</v>
      </c>
      <c r="I29">
        <f>Table1[[#This Row],[Quantity ]]*Table1[[#This Row],[Price ]]</f>
        <v>930</v>
      </c>
      <c r="J29" t="str">
        <f>IF(Table1[[#This Row],[Revenue]]&gt;600,"High","Normal")</f>
        <v>High</v>
      </c>
      <c r="K29" s="7">
        <f>_xlfn.XLOOKUP(Table1[[#This Row],[Salesperson]],Bouns!$A$2:$A$5,Bouns!$B$2:$B$5, "Not Found")</f>
        <v>0.05</v>
      </c>
    </row>
    <row r="30" spans="1:11" hidden="1" x14ac:dyDescent="0.2">
      <c r="A30" s="11">
        <v>45794</v>
      </c>
      <c r="B30" t="s">
        <v>15</v>
      </c>
      <c r="C30" t="s">
        <v>23</v>
      </c>
      <c r="D30">
        <v>1</v>
      </c>
      <c r="E30">
        <v>43</v>
      </c>
      <c r="F30">
        <v>93</v>
      </c>
      <c r="G30" t="s">
        <v>16</v>
      </c>
      <c r="H30" t="s">
        <v>24</v>
      </c>
      <c r="I30">
        <f>Table1[[#This Row],[Quantity ]]*Table1[[#This Row],[Price ]]</f>
        <v>93</v>
      </c>
      <c r="J30" t="str">
        <f>IF(Table1[[#This Row],[Revenue]]&gt;600,"High","Normal")</f>
        <v>Normal</v>
      </c>
      <c r="K30" s="7">
        <f>_xlfn.XLOOKUP(Table1[[#This Row],[Salesperson]],Bouns!$A$2:$A$5,Bouns!$B$2:$B$5, "Not Found")</f>
        <v>0.04</v>
      </c>
    </row>
    <row r="31" spans="1:11" hidden="1" x14ac:dyDescent="0.2">
      <c r="A31" s="11">
        <v>46235</v>
      </c>
      <c r="B31" t="s">
        <v>29</v>
      </c>
      <c r="C31" t="s">
        <v>23</v>
      </c>
      <c r="D31">
        <v>3</v>
      </c>
      <c r="E31">
        <v>38</v>
      </c>
      <c r="F31">
        <v>93</v>
      </c>
      <c r="G31" t="s">
        <v>16</v>
      </c>
      <c r="H31" t="s">
        <v>24</v>
      </c>
      <c r="I31">
        <f>Table1[[#This Row],[Quantity ]]*Table1[[#This Row],[Price ]]</f>
        <v>279</v>
      </c>
      <c r="J31" t="str">
        <f>IF(Table1[[#This Row],[Revenue]]&gt;600,"High","Normal")</f>
        <v>Normal</v>
      </c>
      <c r="K31" s="7">
        <f>_xlfn.XLOOKUP(Table1[[#This Row],[Salesperson]],Bouns!$A$2:$A$5,Bouns!$B$2:$B$5, "Not Found")</f>
        <v>0.04</v>
      </c>
    </row>
    <row r="32" spans="1:11" x14ac:dyDescent="0.2">
      <c r="A32" s="13">
        <v>45965</v>
      </c>
      <c r="B32" t="s">
        <v>29</v>
      </c>
      <c r="C32" t="s">
        <v>23</v>
      </c>
      <c r="D32">
        <v>7</v>
      </c>
      <c r="E32">
        <v>39</v>
      </c>
      <c r="F32">
        <v>93</v>
      </c>
      <c r="G32" t="s">
        <v>13</v>
      </c>
      <c r="H32" t="s">
        <v>20</v>
      </c>
      <c r="I32">
        <f>Table1[[#This Row],[Quantity ]]*Table1[[#This Row],[Price ]]</f>
        <v>651</v>
      </c>
      <c r="J32" t="str">
        <f>IF(Table1[[#This Row],[Revenue]]&gt;600,"High","Normal")</f>
        <v>High</v>
      </c>
      <c r="K32" s="7" t="str">
        <f>_xlfn.XLOOKUP(Table1[[#This Row],[Salesperson]],Bouns!$A$2:$A$5,Bouns!$B$2:$B$5, "Not Found")</f>
        <v>Not Found</v>
      </c>
    </row>
    <row r="33" spans="1:11" x14ac:dyDescent="0.2">
      <c r="A33" s="13">
        <v>45865</v>
      </c>
      <c r="B33" t="s">
        <v>27</v>
      </c>
      <c r="C33" t="s">
        <v>21</v>
      </c>
      <c r="D33">
        <v>7</v>
      </c>
      <c r="E33">
        <v>22</v>
      </c>
      <c r="F33">
        <v>92</v>
      </c>
      <c r="G33" t="s">
        <v>26</v>
      </c>
      <c r="H33" t="s">
        <v>24</v>
      </c>
      <c r="I33">
        <f>Table1[[#This Row],[Quantity ]]*Table1[[#This Row],[Price ]]</f>
        <v>644</v>
      </c>
      <c r="J33" t="str">
        <f>IF(Table1[[#This Row],[Revenue]]&gt;600,"High","Normal")</f>
        <v>High</v>
      </c>
      <c r="K33" s="7">
        <f>_xlfn.XLOOKUP(Table1[[#This Row],[Salesperson]],Bouns!$A$2:$A$5,Bouns!$B$2:$B$5, "Not Found")</f>
        <v>0.05</v>
      </c>
    </row>
    <row r="34" spans="1:11" x14ac:dyDescent="0.2">
      <c r="A34" s="13">
        <v>45740</v>
      </c>
      <c r="B34" t="s">
        <v>18</v>
      </c>
      <c r="C34" t="s">
        <v>12</v>
      </c>
      <c r="D34">
        <v>7</v>
      </c>
      <c r="E34">
        <v>49</v>
      </c>
      <c r="F34">
        <v>88</v>
      </c>
      <c r="G34" t="s">
        <v>19</v>
      </c>
      <c r="H34" t="s">
        <v>17</v>
      </c>
      <c r="I34">
        <f>Table1[[#This Row],[Quantity ]]*Table1[[#This Row],[Price ]]</f>
        <v>616</v>
      </c>
      <c r="J34" t="str">
        <f>IF(Table1[[#This Row],[Revenue]]&gt;600,"High","Normal")</f>
        <v>High</v>
      </c>
      <c r="K34" s="7">
        <f>_xlfn.XLOOKUP(Table1[[#This Row],[Salesperson]],Bouns!$A$2:$A$5,Bouns!$B$2:$B$5, "Not Found")</f>
        <v>0.05</v>
      </c>
    </row>
    <row r="35" spans="1:11" x14ac:dyDescent="0.2">
      <c r="A35" s="13">
        <v>45919</v>
      </c>
      <c r="B35" t="s">
        <v>15</v>
      </c>
      <c r="C35" t="s">
        <v>21</v>
      </c>
      <c r="D35">
        <v>6</v>
      </c>
      <c r="E35">
        <v>38</v>
      </c>
      <c r="F35">
        <v>81</v>
      </c>
      <c r="G35" t="s">
        <v>26</v>
      </c>
      <c r="H35" t="s">
        <v>20</v>
      </c>
      <c r="I35">
        <f>Table1[[#This Row],[Quantity ]]*Table1[[#This Row],[Price ]]</f>
        <v>486</v>
      </c>
      <c r="J35" t="str">
        <f>IF(Table1[[#This Row],[Revenue]]&gt;600,"High","Normal")</f>
        <v>Normal</v>
      </c>
      <c r="K35" s="7">
        <f>_xlfn.XLOOKUP(Table1[[#This Row],[Salesperson]],Bouns!$A$2:$A$5,Bouns!$B$2:$B$5, "Not Found")</f>
        <v>0.05</v>
      </c>
    </row>
    <row r="36" spans="1:11" hidden="1" x14ac:dyDescent="0.2">
      <c r="A36" s="11">
        <v>45846</v>
      </c>
      <c r="B36" t="s">
        <v>29</v>
      </c>
      <c r="C36" t="s">
        <v>23</v>
      </c>
      <c r="D36">
        <v>5</v>
      </c>
      <c r="E36">
        <v>43</v>
      </c>
      <c r="F36">
        <v>78</v>
      </c>
      <c r="G36" t="s">
        <v>28</v>
      </c>
      <c r="H36" t="s">
        <v>17</v>
      </c>
      <c r="I36">
        <f>Table1[[#This Row],[Quantity ]]*Table1[[#This Row],[Price ]]</f>
        <v>390</v>
      </c>
      <c r="J36" t="str">
        <f>IF(Table1[[#This Row],[Revenue]]&gt;600,"High","Normal")</f>
        <v>Normal</v>
      </c>
      <c r="K36" s="7">
        <f>_xlfn.XLOOKUP(Table1[[#This Row],[Salesperson]],Bouns!$A$2:$A$5,Bouns!$B$2:$B$5, "Not Found")</f>
        <v>0.06</v>
      </c>
    </row>
    <row r="37" spans="1:11" hidden="1" x14ac:dyDescent="0.2">
      <c r="A37" s="11">
        <v>45694</v>
      </c>
      <c r="B37" t="s">
        <v>25</v>
      </c>
      <c r="C37" t="s">
        <v>23</v>
      </c>
      <c r="D37">
        <v>1</v>
      </c>
      <c r="E37">
        <v>40</v>
      </c>
      <c r="F37">
        <v>78</v>
      </c>
      <c r="G37" t="s">
        <v>19</v>
      </c>
      <c r="H37" t="s">
        <v>24</v>
      </c>
      <c r="I37">
        <f>Table1[[#This Row],[Quantity ]]*Table1[[#This Row],[Price ]]</f>
        <v>78</v>
      </c>
      <c r="J37" t="str">
        <f>IF(Table1[[#This Row],[Revenue]]&gt;600,"High","Normal")</f>
        <v>Normal</v>
      </c>
      <c r="K37" s="7">
        <f>_xlfn.XLOOKUP(Table1[[#This Row],[Salesperson]],Bouns!$A$2:$A$5,Bouns!$B$2:$B$5, "Not Found")</f>
        <v>0.05</v>
      </c>
    </row>
    <row r="38" spans="1:11" hidden="1" x14ac:dyDescent="0.2">
      <c r="A38" s="11">
        <v>45925</v>
      </c>
      <c r="B38" t="s">
        <v>27</v>
      </c>
      <c r="C38" t="s">
        <v>12</v>
      </c>
      <c r="D38">
        <v>5</v>
      </c>
      <c r="E38">
        <v>43</v>
      </c>
      <c r="F38">
        <v>72</v>
      </c>
      <c r="G38" t="s">
        <v>26</v>
      </c>
      <c r="H38" t="s">
        <v>20</v>
      </c>
      <c r="I38">
        <f>Table1[[#This Row],[Quantity ]]*Table1[[#This Row],[Price ]]</f>
        <v>360</v>
      </c>
      <c r="J38" t="str">
        <f>IF(Table1[[#This Row],[Revenue]]&gt;600,"High","Normal")</f>
        <v>Normal</v>
      </c>
      <c r="K38" s="7">
        <f>_xlfn.XLOOKUP(Table1[[#This Row],[Salesperson]],Bouns!$A$2:$A$5,Bouns!$B$2:$B$5, "Not Found")</f>
        <v>0.05</v>
      </c>
    </row>
    <row r="39" spans="1:11" hidden="1" x14ac:dyDescent="0.2">
      <c r="A39" s="11">
        <v>46327</v>
      </c>
      <c r="B39" t="s">
        <v>15</v>
      </c>
      <c r="C39" t="s">
        <v>23</v>
      </c>
      <c r="D39">
        <v>1</v>
      </c>
      <c r="E39">
        <v>40</v>
      </c>
      <c r="F39">
        <v>71</v>
      </c>
      <c r="G39" t="s">
        <v>16</v>
      </c>
      <c r="H39" t="s">
        <v>20</v>
      </c>
      <c r="I39">
        <f>Table1[[#This Row],[Quantity ]]*Table1[[#This Row],[Price ]]</f>
        <v>71</v>
      </c>
      <c r="J39" t="str">
        <f>IF(Table1[[#This Row],[Revenue]]&gt;600,"High","Normal")</f>
        <v>Normal</v>
      </c>
      <c r="K39" s="7">
        <f>_xlfn.XLOOKUP(Table1[[#This Row],[Salesperson]],Bouns!$A$2:$A$5,Bouns!$B$2:$B$5, "Not Found")</f>
        <v>0.04</v>
      </c>
    </row>
    <row r="40" spans="1:11" hidden="1" x14ac:dyDescent="0.2">
      <c r="A40" s="11">
        <v>45879</v>
      </c>
      <c r="B40" t="s">
        <v>11</v>
      </c>
      <c r="C40" t="s">
        <v>21</v>
      </c>
      <c r="D40">
        <v>5</v>
      </c>
      <c r="E40">
        <v>26</v>
      </c>
      <c r="F40">
        <v>71</v>
      </c>
      <c r="G40" t="s">
        <v>28</v>
      </c>
      <c r="H40" t="s">
        <v>20</v>
      </c>
      <c r="I40">
        <f>Table1[[#This Row],[Quantity ]]*Table1[[#This Row],[Price ]]</f>
        <v>355</v>
      </c>
      <c r="J40" t="str">
        <f>IF(Table1[[#This Row],[Revenue]]&gt;600,"High","Normal")</f>
        <v>Normal</v>
      </c>
      <c r="K40" s="7">
        <f>_xlfn.XLOOKUP(Table1[[#This Row],[Salesperson]],Bouns!$A$2:$A$5,Bouns!$B$2:$B$5, "Not Found")</f>
        <v>0.06</v>
      </c>
    </row>
    <row r="41" spans="1:11" x14ac:dyDescent="0.2">
      <c r="A41" s="13">
        <v>46053</v>
      </c>
      <c r="B41" t="s">
        <v>27</v>
      </c>
      <c r="C41" t="s">
        <v>23</v>
      </c>
      <c r="D41">
        <v>8</v>
      </c>
      <c r="E41">
        <v>40</v>
      </c>
      <c r="F41">
        <v>70</v>
      </c>
      <c r="G41" t="s">
        <v>26</v>
      </c>
      <c r="H41" t="s">
        <v>17</v>
      </c>
      <c r="I41">
        <f>Table1[[#This Row],[Quantity ]]*Table1[[#This Row],[Price ]]</f>
        <v>560</v>
      </c>
      <c r="J41" t="str">
        <f>IF(Table1[[#This Row],[Revenue]]&gt;600,"High","Normal")</f>
        <v>Normal</v>
      </c>
      <c r="K41" s="7">
        <f>_xlfn.XLOOKUP(Table1[[#This Row],[Salesperson]],Bouns!$A$2:$A$5,Bouns!$B$2:$B$5, "Not Found")</f>
        <v>0.05</v>
      </c>
    </row>
    <row r="42" spans="1:11" x14ac:dyDescent="0.2">
      <c r="A42" s="13">
        <v>45953</v>
      </c>
      <c r="B42" t="s">
        <v>22</v>
      </c>
      <c r="C42" t="s">
        <v>23</v>
      </c>
      <c r="D42">
        <v>7</v>
      </c>
      <c r="E42">
        <v>33</v>
      </c>
      <c r="F42">
        <v>70</v>
      </c>
      <c r="G42" t="s">
        <v>13</v>
      </c>
      <c r="H42" t="s">
        <v>24</v>
      </c>
      <c r="I42">
        <f>Table1[[#This Row],[Quantity ]]*Table1[[#This Row],[Price ]]</f>
        <v>490</v>
      </c>
      <c r="J42" t="str">
        <f>IF(Table1[[#This Row],[Revenue]]&gt;600,"High","Normal")</f>
        <v>Normal</v>
      </c>
      <c r="K42" s="7" t="str">
        <f>_xlfn.XLOOKUP(Table1[[#This Row],[Salesperson]],Bouns!$A$2:$A$5,Bouns!$B$2:$B$5, "Not Found")</f>
        <v>Not Found</v>
      </c>
    </row>
    <row r="43" spans="1:11" hidden="1" x14ac:dyDescent="0.2">
      <c r="A43" s="11">
        <v>45742</v>
      </c>
      <c r="B43" t="s">
        <v>22</v>
      </c>
      <c r="C43" t="s">
        <v>12</v>
      </c>
      <c r="D43">
        <v>4</v>
      </c>
      <c r="E43">
        <v>31</v>
      </c>
      <c r="F43">
        <v>69</v>
      </c>
      <c r="G43" t="s">
        <v>16</v>
      </c>
      <c r="H43" t="s">
        <v>14</v>
      </c>
      <c r="I43">
        <f>Table1[[#This Row],[Quantity ]]*Table1[[#This Row],[Price ]]</f>
        <v>276</v>
      </c>
      <c r="J43" t="str">
        <f>IF(Table1[[#This Row],[Revenue]]&gt;600,"High","Normal")</f>
        <v>Normal</v>
      </c>
      <c r="K43" s="7">
        <f>_xlfn.XLOOKUP(Table1[[#This Row],[Salesperson]],Bouns!$A$2:$A$5,Bouns!$B$2:$B$5, "Not Found")</f>
        <v>0.04</v>
      </c>
    </row>
    <row r="44" spans="1:11" hidden="1" x14ac:dyDescent="0.2">
      <c r="A44" s="11">
        <v>45893</v>
      </c>
      <c r="B44" t="s">
        <v>18</v>
      </c>
      <c r="C44" t="s">
        <v>23</v>
      </c>
      <c r="D44">
        <v>3</v>
      </c>
      <c r="E44">
        <v>24</v>
      </c>
      <c r="F44">
        <v>69</v>
      </c>
      <c r="G44" t="s">
        <v>16</v>
      </c>
      <c r="H44" t="s">
        <v>17</v>
      </c>
      <c r="I44">
        <f>Table1[[#This Row],[Quantity ]]*Table1[[#This Row],[Price ]]</f>
        <v>207</v>
      </c>
      <c r="J44" t="str">
        <f>IF(Table1[[#This Row],[Revenue]]&gt;600,"High","Normal")</f>
        <v>Normal</v>
      </c>
      <c r="K44" s="7">
        <f>_xlfn.XLOOKUP(Table1[[#This Row],[Salesperson]],Bouns!$A$2:$A$5,Bouns!$B$2:$B$5, "Not Found")</f>
        <v>0.04</v>
      </c>
    </row>
    <row r="45" spans="1:11" hidden="1" x14ac:dyDescent="0.2">
      <c r="A45" s="11">
        <v>46008</v>
      </c>
      <c r="B45" t="s">
        <v>15</v>
      </c>
      <c r="C45" t="s">
        <v>12</v>
      </c>
      <c r="D45">
        <v>1</v>
      </c>
      <c r="E45">
        <v>34</v>
      </c>
      <c r="F45">
        <v>69</v>
      </c>
      <c r="G45" t="s">
        <v>19</v>
      </c>
      <c r="H45" t="s">
        <v>24</v>
      </c>
      <c r="I45">
        <f>Table1[[#This Row],[Quantity ]]*Table1[[#This Row],[Price ]]</f>
        <v>69</v>
      </c>
      <c r="J45" t="str">
        <f>IF(Table1[[#This Row],[Revenue]]&gt;600,"High","Normal")</f>
        <v>Normal</v>
      </c>
      <c r="K45" s="7">
        <f>_xlfn.XLOOKUP(Table1[[#This Row],[Salesperson]],Bouns!$A$2:$A$5,Bouns!$B$2:$B$5, "Not Found")</f>
        <v>0.05</v>
      </c>
    </row>
    <row r="46" spans="1:11" x14ac:dyDescent="0.2">
      <c r="A46" s="13">
        <v>46113</v>
      </c>
      <c r="B46" t="s">
        <v>22</v>
      </c>
      <c r="C46" t="s">
        <v>12</v>
      </c>
      <c r="D46">
        <v>9</v>
      </c>
      <c r="E46">
        <v>28</v>
      </c>
      <c r="F46">
        <v>66</v>
      </c>
      <c r="G46" t="s">
        <v>13</v>
      </c>
      <c r="H46" t="s">
        <v>14</v>
      </c>
      <c r="I46">
        <f>Table1[[#This Row],[Quantity ]]*Table1[[#This Row],[Price ]]</f>
        <v>594</v>
      </c>
      <c r="J46" t="str">
        <f>IF(Table1[[#This Row],[Revenue]]&gt;600,"High","Normal")</f>
        <v>Normal</v>
      </c>
      <c r="K46" s="7" t="str">
        <f>_xlfn.XLOOKUP(Table1[[#This Row],[Salesperson]],Bouns!$A$2:$A$5,Bouns!$B$2:$B$5, "Not Found")</f>
        <v>Not Found</v>
      </c>
    </row>
    <row r="47" spans="1:11" hidden="1" x14ac:dyDescent="0.2">
      <c r="A47" s="11">
        <v>46174</v>
      </c>
      <c r="B47" t="s">
        <v>25</v>
      </c>
      <c r="C47" t="s">
        <v>12</v>
      </c>
      <c r="D47">
        <v>5</v>
      </c>
      <c r="E47">
        <v>50</v>
      </c>
      <c r="F47">
        <v>66</v>
      </c>
      <c r="G47" t="s">
        <v>28</v>
      </c>
      <c r="H47" t="s">
        <v>14</v>
      </c>
      <c r="I47">
        <f>Table1[[#This Row],[Quantity ]]*Table1[[#This Row],[Price ]]</f>
        <v>330</v>
      </c>
      <c r="J47" t="str">
        <f>IF(Table1[[#This Row],[Revenue]]&gt;600,"High","Normal")</f>
        <v>Normal</v>
      </c>
      <c r="K47" s="7">
        <f>_xlfn.XLOOKUP(Table1[[#This Row],[Salesperson]],Bouns!$A$2:$A$5,Bouns!$B$2:$B$5, "Not Found")</f>
        <v>0.06</v>
      </c>
    </row>
    <row r="48" spans="1:11" x14ac:dyDescent="0.2">
      <c r="A48" s="13">
        <v>46017</v>
      </c>
      <c r="B48" t="s">
        <v>25</v>
      </c>
      <c r="C48" t="s">
        <v>21</v>
      </c>
      <c r="D48">
        <v>7</v>
      </c>
      <c r="E48">
        <v>22</v>
      </c>
      <c r="F48">
        <v>65</v>
      </c>
      <c r="G48" t="s">
        <v>28</v>
      </c>
      <c r="H48" t="s">
        <v>24</v>
      </c>
      <c r="I48">
        <f>Table1[[#This Row],[Quantity ]]*Table1[[#This Row],[Price ]]</f>
        <v>455</v>
      </c>
      <c r="J48" t="str">
        <f>IF(Table1[[#This Row],[Revenue]]&gt;600,"High","Normal")</f>
        <v>Normal</v>
      </c>
      <c r="K48" s="7">
        <f>_xlfn.XLOOKUP(Table1[[#This Row],[Salesperson]],Bouns!$A$2:$A$5,Bouns!$B$2:$B$5, "Not Found")</f>
        <v>0.06</v>
      </c>
    </row>
    <row r="49" spans="1:11" x14ac:dyDescent="0.2">
      <c r="A49" s="13">
        <v>46011</v>
      </c>
      <c r="B49" t="s">
        <v>27</v>
      </c>
      <c r="C49" t="s">
        <v>23</v>
      </c>
      <c r="D49">
        <v>10</v>
      </c>
      <c r="E49">
        <v>29</v>
      </c>
      <c r="F49">
        <v>63</v>
      </c>
      <c r="G49" t="s">
        <v>26</v>
      </c>
      <c r="H49" t="s">
        <v>17</v>
      </c>
      <c r="I49">
        <f>Table1[[#This Row],[Quantity ]]*Table1[[#This Row],[Price ]]</f>
        <v>630</v>
      </c>
      <c r="J49" t="str">
        <f>IF(Table1[[#This Row],[Revenue]]&gt;600,"High","Normal")</f>
        <v>High</v>
      </c>
      <c r="K49" s="7">
        <f>_xlfn.XLOOKUP(Table1[[#This Row],[Salesperson]],Bouns!$A$2:$A$5,Bouns!$B$2:$B$5, "Not Found")</f>
        <v>0.05</v>
      </c>
    </row>
    <row r="50" spans="1:11" hidden="1" x14ac:dyDescent="0.2">
      <c r="A50" s="11">
        <v>45865</v>
      </c>
      <c r="B50" t="s">
        <v>15</v>
      </c>
      <c r="C50" t="s">
        <v>23</v>
      </c>
      <c r="D50">
        <v>3</v>
      </c>
      <c r="E50">
        <v>32</v>
      </c>
      <c r="F50">
        <v>63</v>
      </c>
      <c r="G50" t="s">
        <v>16</v>
      </c>
      <c r="H50" t="s">
        <v>24</v>
      </c>
      <c r="I50">
        <f>Table1[[#This Row],[Quantity ]]*Table1[[#This Row],[Price ]]</f>
        <v>189</v>
      </c>
      <c r="J50" t="str">
        <f>IF(Table1[[#This Row],[Revenue]]&gt;600,"High","Normal")</f>
        <v>Normal</v>
      </c>
      <c r="K50" s="7">
        <f>_xlfn.XLOOKUP(Table1[[#This Row],[Salesperson]],Bouns!$A$2:$A$5,Bouns!$B$2:$B$5, "Not Found")</f>
        <v>0.04</v>
      </c>
    </row>
    <row r="51" spans="1:11" hidden="1" x14ac:dyDescent="0.2">
      <c r="A51" s="11">
        <v>45879</v>
      </c>
      <c r="B51" t="s">
        <v>15</v>
      </c>
      <c r="C51" t="s">
        <v>23</v>
      </c>
      <c r="D51">
        <v>3</v>
      </c>
      <c r="E51">
        <v>32</v>
      </c>
      <c r="F51">
        <v>60</v>
      </c>
      <c r="G51" t="s">
        <v>28</v>
      </c>
      <c r="H51" t="s">
        <v>24</v>
      </c>
      <c r="I51">
        <f>Table1[[#This Row],[Quantity ]]*Table1[[#This Row],[Price ]]</f>
        <v>180</v>
      </c>
      <c r="J51" t="str">
        <f>IF(Table1[[#This Row],[Revenue]]&gt;600,"High","Normal")</f>
        <v>Normal</v>
      </c>
      <c r="K51" s="7">
        <f>_xlfn.XLOOKUP(Table1[[#This Row],[Salesperson]],Bouns!$A$2:$A$5,Bouns!$B$2:$B$5, "Not Found")</f>
        <v>0.06</v>
      </c>
    </row>
  </sheetData>
  <sortState ref="A2:H51">
    <sortCondition descending="1" ref="F2:F51"/>
    <sortCondition ref="H2:H51"/>
  </sortState>
  <conditionalFormatting sqref="F1:F3">
    <cfRule type="expression" dxfId="7" priority="1">
      <formula>F1:F49 &lt; 80</formula>
    </cfRule>
    <cfRule type="expression" dxfId="6" priority="2">
      <formula>F1:F49 &gt; 95</formula>
    </cfRule>
  </conditionalFormatting>
  <conditionalFormatting sqref="F4:F49">
    <cfRule type="expression" dxfId="5" priority="5">
      <formula>F4:F51 &lt; 80</formula>
    </cfRule>
    <cfRule type="expression" dxfId="4" priority="6">
      <formula>F4:F51 &gt; 95</formula>
    </cfRule>
  </conditionalFormatting>
  <pageMargins left="0.75" right="0.75" top="1" bottom="1" header="0.5" footer="0.5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C322E-0D6E-4423-A511-FC908AF1C36A}">
  <dimension ref="A1:B5"/>
  <sheetViews>
    <sheetView workbookViewId="0">
      <selection activeCell="D7" sqref="D7"/>
    </sheetView>
  </sheetViews>
  <sheetFormatPr defaultRowHeight="14.25" x14ac:dyDescent="0.2"/>
  <cols>
    <col min="1" max="1" width="13.375" customWidth="1"/>
    <col min="2" max="2" width="20.75" customWidth="1"/>
  </cols>
  <sheetData>
    <row r="1" spans="1:2" ht="17.25" thickBot="1" x14ac:dyDescent="0.25">
      <c r="A1" s="2" t="s">
        <v>6</v>
      </c>
      <c r="B1" s="2" t="s">
        <v>30</v>
      </c>
    </row>
    <row r="2" spans="1:2" ht="16.5" customHeight="1" thickBot="1" x14ac:dyDescent="0.25">
      <c r="A2" s="3" t="s">
        <v>26</v>
      </c>
      <c r="B2" s="4">
        <v>0.05</v>
      </c>
    </row>
    <row r="3" spans="1:2" ht="17.25" thickBot="1" x14ac:dyDescent="0.25">
      <c r="A3" s="3" t="s">
        <v>28</v>
      </c>
      <c r="B3" s="4">
        <v>0.06</v>
      </c>
    </row>
    <row r="4" spans="1:2" ht="17.25" thickBot="1" x14ac:dyDescent="0.25">
      <c r="A4" s="3" t="s">
        <v>16</v>
      </c>
      <c r="B4" s="4">
        <v>0.04</v>
      </c>
    </row>
    <row r="5" spans="1:2" ht="17.25" thickBot="1" x14ac:dyDescent="0.25">
      <c r="A5" s="3" t="s">
        <v>19</v>
      </c>
      <c r="B5" s="4">
        <v>0.05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3C141-D420-4734-86BD-26A4E3B7C372}">
  <dimension ref="A1:K7"/>
  <sheetViews>
    <sheetView workbookViewId="0">
      <selection activeCell="F14" sqref="F14"/>
    </sheetView>
  </sheetViews>
  <sheetFormatPr defaultRowHeight="14.25" x14ac:dyDescent="0.2"/>
  <cols>
    <col min="1" max="1" width="16" bestFit="1" customWidth="1"/>
    <col min="2" max="2" width="15.75" bestFit="1" customWidth="1"/>
    <col min="3" max="3" width="20.625" bestFit="1" customWidth="1"/>
    <col min="4" max="4" width="15.75" bestFit="1" customWidth="1"/>
    <col min="5" max="5" width="20.625" bestFit="1" customWidth="1"/>
    <col min="6" max="6" width="15.75" bestFit="1" customWidth="1"/>
    <col min="7" max="7" width="20.625" bestFit="1" customWidth="1"/>
    <col min="8" max="8" width="15.75" bestFit="1" customWidth="1"/>
    <col min="9" max="9" width="20.625" bestFit="1" customWidth="1"/>
    <col min="10" max="10" width="15.75" bestFit="1" customWidth="1"/>
    <col min="11" max="11" width="20.625" bestFit="1" customWidth="1"/>
    <col min="12" max="12" width="20.875" bestFit="1" customWidth="1"/>
    <col min="13" max="13" width="25.875" bestFit="1" customWidth="1"/>
  </cols>
  <sheetData>
    <row r="1" spans="1:11" x14ac:dyDescent="0.2">
      <c r="B1" s="8" t="s">
        <v>31</v>
      </c>
    </row>
    <row r="2" spans="1:11" x14ac:dyDescent="0.2">
      <c r="B2" t="s">
        <v>26</v>
      </c>
      <c r="D2" t="s">
        <v>19</v>
      </c>
      <c r="F2" t="s">
        <v>28</v>
      </c>
      <c r="H2" t="s">
        <v>13</v>
      </c>
      <c r="J2" t="s">
        <v>16</v>
      </c>
    </row>
    <row r="3" spans="1:11" x14ac:dyDescent="0.2">
      <c r="A3" s="8" t="s">
        <v>32</v>
      </c>
      <c r="B3" t="s">
        <v>33</v>
      </c>
      <c r="C3" t="s">
        <v>34</v>
      </c>
      <c r="D3" t="s">
        <v>33</v>
      </c>
      <c r="E3" t="s">
        <v>34</v>
      </c>
      <c r="F3" t="s">
        <v>33</v>
      </c>
      <c r="G3" t="s">
        <v>34</v>
      </c>
      <c r="H3" t="s">
        <v>33</v>
      </c>
      <c r="I3" t="s">
        <v>34</v>
      </c>
      <c r="J3" t="s">
        <v>33</v>
      </c>
      <c r="K3" t="s">
        <v>34</v>
      </c>
    </row>
    <row r="4" spans="1:11" x14ac:dyDescent="0.2">
      <c r="A4" s="9" t="s">
        <v>14</v>
      </c>
      <c r="B4" s="10">
        <v>930</v>
      </c>
      <c r="C4" s="10">
        <v>46.5</v>
      </c>
      <c r="D4" s="10">
        <v>110</v>
      </c>
      <c r="E4" s="10">
        <v>5.5</v>
      </c>
      <c r="F4" s="10">
        <v>1219</v>
      </c>
      <c r="G4" s="10">
        <v>219.42</v>
      </c>
      <c r="H4" s="10">
        <v>2002</v>
      </c>
      <c r="I4" s="10">
        <v>0</v>
      </c>
      <c r="J4" s="10">
        <v>2568</v>
      </c>
      <c r="K4" s="10">
        <v>410.88</v>
      </c>
    </row>
    <row r="5" spans="1:11" x14ac:dyDescent="0.2">
      <c r="A5" s="9" t="s">
        <v>17</v>
      </c>
      <c r="B5" s="10">
        <v>1190</v>
      </c>
      <c r="C5" s="10">
        <v>119</v>
      </c>
      <c r="D5" s="10">
        <v>2314</v>
      </c>
      <c r="E5" s="10">
        <v>462.8</v>
      </c>
      <c r="F5" s="10">
        <v>966</v>
      </c>
      <c r="G5" s="10">
        <v>115.92</v>
      </c>
      <c r="H5" s="10">
        <v>678</v>
      </c>
      <c r="I5" s="10">
        <v>0</v>
      </c>
      <c r="J5" s="10">
        <v>1024</v>
      </c>
      <c r="K5" s="10">
        <v>122.88</v>
      </c>
    </row>
    <row r="6" spans="1:11" x14ac:dyDescent="0.2">
      <c r="A6" s="9" t="s">
        <v>24</v>
      </c>
      <c r="B6" s="10">
        <v>644</v>
      </c>
      <c r="C6" s="10">
        <v>32.200000000000003</v>
      </c>
      <c r="D6" s="10">
        <v>147</v>
      </c>
      <c r="E6" s="10">
        <v>14.700000000000001</v>
      </c>
      <c r="F6" s="10">
        <v>1125</v>
      </c>
      <c r="G6" s="10">
        <v>202.5</v>
      </c>
      <c r="H6" s="10">
        <v>938</v>
      </c>
      <c r="I6" s="10">
        <v>0</v>
      </c>
      <c r="J6" s="10">
        <v>2037</v>
      </c>
      <c r="K6" s="10">
        <v>407.40000000000003</v>
      </c>
    </row>
    <row r="7" spans="1:11" x14ac:dyDescent="0.2">
      <c r="A7" s="9" t="s">
        <v>20</v>
      </c>
      <c r="B7" s="10">
        <v>2666</v>
      </c>
      <c r="C7" s="10">
        <v>533.20000000000005</v>
      </c>
      <c r="D7" s="10">
        <v>118</v>
      </c>
      <c r="E7" s="10">
        <v>5.9</v>
      </c>
      <c r="F7" s="10">
        <v>1855</v>
      </c>
      <c r="G7" s="10">
        <v>333.9</v>
      </c>
      <c r="H7" s="10">
        <v>651</v>
      </c>
      <c r="I7" s="10">
        <v>0</v>
      </c>
      <c r="J7" s="10">
        <v>1809</v>
      </c>
      <c r="K7" s="10">
        <v>289.44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E64AA-0592-4095-A3C7-0E059EA677CC}">
  <dimension ref="A1:B14"/>
  <sheetViews>
    <sheetView tabSelected="1" workbookViewId="0">
      <selection activeCell="A3" sqref="A3"/>
    </sheetView>
  </sheetViews>
  <sheetFormatPr defaultRowHeight="14.25" x14ac:dyDescent="0.2"/>
  <cols>
    <col min="1" max="1" width="13.125" bestFit="1" customWidth="1"/>
    <col min="2" max="2" width="15.5" bestFit="1" customWidth="1"/>
    <col min="3" max="47" width="9.875" bestFit="1" customWidth="1"/>
    <col min="48" max="48" width="11.375" bestFit="1" customWidth="1"/>
  </cols>
  <sheetData>
    <row r="1" spans="1:2" x14ac:dyDescent="0.2">
      <c r="A1" s="8" t="s">
        <v>35</v>
      </c>
      <c r="B1" t="s">
        <v>36</v>
      </c>
    </row>
    <row r="2" spans="1:2" x14ac:dyDescent="0.2">
      <c r="A2" s="9" t="s">
        <v>38</v>
      </c>
      <c r="B2" s="10">
        <v>8</v>
      </c>
    </row>
    <row r="3" spans="1:2" x14ac:dyDescent="0.2">
      <c r="A3" s="9" t="s">
        <v>39</v>
      </c>
      <c r="B3" s="10">
        <v>17</v>
      </c>
    </row>
    <row r="4" spans="1:2" x14ac:dyDescent="0.2">
      <c r="A4" s="9" t="s">
        <v>40</v>
      </c>
      <c r="B4" s="10">
        <v>24</v>
      </c>
    </row>
    <row r="5" spans="1:2" x14ac:dyDescent="0.2">
      <c r="A5" s="9" t="s">
        <v>41</v>
      </c>
      <c r="B5" s="10">
        <v>23</v>
      </c>
    </row>
    <row r="6" spans="1:2" x14ac:dyDescent="0.2">
      <c r="A6" s="9" t="s">
        <v>42</v>
      </c>
      <c r="B6" s="10">
        <v>14</v>
      </c>
    </row>
    <row r="7" spans="1:2" x14ac:dyDescent="0.2">
      <c r="A7" s="9" t="s">
        <v>43</v>
      </c>
      <c r="B7" s="10">
        <v>20</v>
      </c>
    </row>
    <row r="8" spans="1:2" x14ac:dyDescent="0.2">
      <c r="A8" s="9" t="s">
        <v>44</v>
      </c>
      <c r="B8" s="10">
        <v>40</v>
      </c>
    </row>
    <row r="9" spans="1:2" x14ac:dyDescent="0.2">
      <c r="A9" s="9" t="s">
        <v>45</v>
      </c>
      <c r="B9" s="10">
        <v>19</v>
      </c>
    </row>
    <row r="10" spans="1:2" x14ac:dyDescent="0.2">
      <c r="A10" s="9" t="s">
        <v>46</v>
      </c>
      <c r="B10" s="10">
        <v>46</v>
      </c>
    </row>
    <row r="11" spans="1:2" x14ac:dyDescent="0.2">
      <c r="A11" s="9" t="s">
        <v>47</v>
      </c>
      <c r="B11" s="10">
        <v>15</v>
      </c>
    </row>
    <row r="12" spans="1:2" x14ac:dyDescent="0.2">
      <c r="A12" s="9" t="s">
        <v>48</v>
      </c>
      <c r="B12" s="10">
        <v>18</v>
      </c>
    </row>
    <row r="13" spans="1:2" x14ac:dyDescent="0.2">
      <c r="A13" s="9" t="s">
        <v>49</v>
      </c>
      <c r="B13" s="10">
        <v>26</v>
      </c>
    </row>
    <row r="14" spans="1:2" x14ac:dyDescent="0.2">
      <c r="A14" s="9" t="s">
        <v>37</v>
      </c>
      <c r="B14" s="10">
        <v>270</v>
      </c>
    </row>
  </sheetData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Bouns</vt:lpstr>
      <vt:lpstr>Pivot table1</vt:lpstr>
      <vt:lpstr>Pivot table2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Nada</dc:creator>
  <cp:keywords/>
  <dc:description/>
  <cp:lastModifiedBy>Nada Elsayed</cp:lastModifiedBy>
  <cp:revision/>
  <dcterms:created xsi:type="dcterms:W3CDTF">2026-03-26T05:37:04Z</dcterms:created>
  <dcterms:modified xsi:type="dcterms:W3CDTF">2026-03-26T07:29:26Z</dcterms:modified>
  <cp:category/>
  <cp:contentStatus/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2026-03-16T10:07:55Z</dcterms:created>
  <cp:revision>0</cp:revision>
</cp:coreProperties>
</file>