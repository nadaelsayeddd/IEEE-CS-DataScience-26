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thelets Data" sheetId="1" r:id="rId1"/>
    <sheet name="Sponsorships" sheetId="3" r:id="rId2"/>
    <sheet name="sheet3" sheetId="11" r:id="rId3"/>
    <sheet name="Charts" sheetId="12" r:id="rId4"/>
    <sheet name="Detective" sheetId="1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<sst xmlns="http://schemas.openxmlformats.org/spreadsheetml/2006/main" count="312" uniqueCount="137">
  <si>
    <t>Athlete ID</t>
  </si>
  <si>
    <t>Name</t>
  </si>
  <si>
    <t>Sport</t>
  </si>
  <si>
    <t>Level</t>
  </si>
  <si>
    <t>Date of Joining</t>
  </si>
  <si>
    <t>Monthly Salary</t>
  </si>
  <si>
    <t>Matches Won</t>
  </si>
  <si>
    <t>Status</t>
  </si>
  <si>
    <t>Sponsorship Value</t>
  </si>
  <si>
    <t>Performance Category</t>
  </si>
  <si>
    <t>Contract</t>
  </si>
  <si>
    <t>ATH-001</t>
  </si>
  <si>
    <t>Liam Carter</t>
  </si>
  <si>
    <t>Football</t>
  </si>
  <si>
    <t>A</t>
  </si>
  <si>
    <t>Active</t>
  </si>
  <si>
    <t>ATH-002</t>
  </si>
  <si>
    <t>Emma Radu</t>
  </si>
  <si>
    <t>Tennis</t>
  </si>
  <si>
    <t>ATH-003</t>
  </si>
  <si>
    <t>Noah Vance</t>
  </si>
  <si>
    <t>Basketball</t>
  </si>
  <si>
    <t>B</t>
  </si>
  <si>
    <t>ATH-004</t>
  </si>
  <si>
    <t>Olivia Pen</t>
  </si>
  <si>
    <t>Swimming</t>
  </si>
  <si>
    <t>C</t>
  </si>
  <si>
    <t>ATH-005</t>
  </si>
  <si>
    <t>Lucas Trent</t>
  </si>
  <si>
    <t>Esports</t>
  </si>
  <si>
    <t>Injured</t>
  </si>
  <si>
    <t>ATH-006</t>
  </si>
  <si>
    <t>Mia Wong</t>
  </si>
  <si>
    <t>ATH-007</t>
  </si>
  <si>
    <t>Ethan Hunt</t>
  </si>
  <si>
    <t>ATH-008</t>
  </si>
  <si>
    <t>Ava Smith</t>
  </si>
  <si>
    <t>ATH-009</t>
  </si>
  <si>
    <t>Mason Ray</t>
  </si>
  <si>
    <t>ATH-010</t>
  </si>
  <si>
    <t>Sophia Lee</t>
  </si>
  <si>
    <t>Retired</t>
  </si>
  <si>
    <t>ATH-011</t>
  </si>
  <si>
    <t>Logan Fox</t>
  </si>
  <si>
    <t>ATH-012</t>
  </si>
  <si>
    <t>Harper Day</t>
  </si>
  <si>
    <t>ATH-013</t>
  </si>
  <si>
    <t>Aiden Cole</t>
  </si>
  <si>
    <t>ATH-014</t>
  </si>
  <si>
    <t>Chloe Bae</t>
  </si>
  <si>
    <t>ATH-015</t>
  </si>
  <si>
    <t>Jack Kace</t>
  </si>
  <si>
    <t>ATH-016</t>
  </si>
  <si>
    <t>Lily Lane</t>
  </si>
  <si>
    <t>ATH-017</t>
  </si>
  <si>
    <t>Ryan Dale</t>
  </si>
  <si>
    <t>ATH-018</t>
  </si>
  <si>
    <t>Zoe Finn</t>
  </si>
  <si>
    <t>ATH-019</t>
  </si>
  <si>
    <t>Luke Pitt</t>
  </si>
  <si>
    <t>ATH-020</t>
  </si>
  <si>
    <t>Stella May</t>
  </si>
  <si>
    <t>ATH-021</t>
  </si>
  <si>
    <t>Caleb Dune</t>
  </si>
  <si>
    <t>ATH-022</t>
  </si>
  <si>
    <t>Nora Bell</t>
  </si>
  <si>
    <t>ATH-023</t>
  </si>
  <si>
    <t>Isaac Reed</t>
  </si>
  <si>
    <t>ATH-024</t>
  </si>
  <si>
    <t>Maya Cruz</t>
  </si>
  <si>
    <t>ATH-025</t>
  </si>
  <si>
    <t>Owen Shaw</t>
  </si>
  <si>
    <t>ATH-026</t>
  </si>
  <si>
    <t>Ruby West</t>
  </si>
  <si>
    <t>ATH-027</t>
  </si>
  <si>
    <t>Wyatt Knox</t>
  </si>
  <si>
    <t>ATH-028</t>
  </si>
  <si>
    <t>Mila Vane</t>
  </si>
  <si>
    <t>ATH-029</t>
  </si>
  <si>
    <t>Jayden Jax</t>
  </si>
  <si>
    <t>ATH-030</t>
  </si>
  <si>
    <t>Aria Moon</t>
  </si>
  <si>
    <t>ATH-031</t>
  </si>
  <si>
    <t>Levi Zane</t>
  </si>
  <si>
    <t>ATH-032</t>
  </si>
  <si>
    <t>Ella Rose</t>
  </si>
  <si>
    <t>ATH-033</t>
  </si>
  <si>
    <t>Eli Nash</t>
  </si>
  <si>
    <t>ATH-034</t>
  </si>
  <si>
    <t>Hazel Dean</t>
  </si>
  <si>
    <t>ATH-035</t>
  </si>
  <si>
    <t>Ezra Holt</t>
  </si>
  <si>
    <t>ATH-036</t>
  </si>
  <si>
    <t>Lucy Byrd</t>
  </si>
  <si>
    <t>ATH-037</t>
  </si>
  <si>
    <t>Asher King</t>
  </si>
  <si>
    <t>ATH-038</t>
  </si>
  <si>
    <t>Anna Ford</t>
  </si>
  <si>
    <t>ATH-039</t>
  </si>
  <si>
    <t>Leo Vance</t>
  </si>
  <si>
    <t>ATH-040</t>
  </si>
  <si>
    <t>Sara Grey</t>
  </si>
  <si>
    <t>ATH-041</t>
  </si>
  <si>
    <t>Max Duke</t>
  </si>
  <si>
    <t>ATH-042</t>
  </si>
  <si>
    <t>Eden Lake</t>
  </si>
  <si>
    <t>ATH-043</t>
  </si>
  <si>
    <t>Jace Dunn</t>
  </si>
  <si>
    <t>ATH-044</t>
  </si>
  <si>
    <t>Hope Burr</t>
  </si>
  <si>
    <t>ATH-045</t>
  </si>
  <si>
    <t>Kai Ward</t>
  </si>
  <si>
    <t>ATH-046</t>
  </si>
  <si>
    <t>Skye Tate</t>
  </si>
  <si>
    <t>ATH-047</t>
  </si>
  <si>
    <t>Zion Rush</t>
  </si>
  <si>
    <t>ATH-048</t>
  </si>
  <si>
    <t>Jade Ross</t>
  </si>
  <si>
    <t>ATH-049</t>
  </si>
  <si>
    <t>Beau Kent</t>
  </si>
  <si>
    <t>ATH-050</t>
  </si>
  <si>
    <t>Cora Beck</t>
  </si>
  <si>
    <t>SponsorShip Value</t>
  </si>
  <si>
    <t>Count of Athlete ID</t>
  </si>
  <si>
    <t>Grand Total</t>
  </si>
  <si>
    <t>Sum of Sponsorship Value</t>
  </si>
  <si>
    <t>Sum of Monthly Salary</t>
  </si>
  <si>
    <t>Charts</t>
  </si>
  <si>
    <t>Years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</si>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</sst>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dd/mm/yyyy"/>
    <numFmt numFmtId="180" formatCode="d/m/yyyy"/>
  </numFmts>
  <fonts count="27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6"/>
      <color theme="0"/>
      <name val="Bahnschrift"/>
      <charset val="134"/>
    </font>
    <font>
      <b/>
      <sz val="11"/>
      <color theme="0"/>
      <name val="Bahnschrift"/>
      <charset val="134"/>
    </font>
    <font>
      <b/>
      <sz val="11"/>
      <color rgb="FF5EDEE8"/>
      <name val="Bahnschrift"/>
      <charset val="134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0A2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2418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horizontal="right" vertical="center" indent="2"/>
    </xf>
    <xf numFmtId="0" fontId="1" fillId="3" borderId="0" xfId="0" applyFont="1" applyFill="1" applyAlignment="1"/>
    <xf numFmtId="0" fontId="1" fillId="4" borderId="0" xfId="0" applyFont="1" applyFill="1" applyAlignment="1"/>
    <xf numFmtId="49" fontId="0" fillId="0" borderId="0" xfId="0" applyNumberFormat="1" applyFont="1" applyAlignment="1"/>
    <xf numFmtId="6" fontId="0" fillId="0" borderId="0" xfId="0" applyNumberFormat="1" applyFont="1" applyAlignment="1"/>
    <xf numFmtId="0" fontId="5" fillId="0" borderId="0" xfId="0" applyFont="1" applyAlignment="1"/>
    <xf numFmtId="178" fontId="0" fillId="0" borderId="0" xfId="0" applyNumberFormat="1" applyFont="1" applyAlignment="1"/>
    <xf numFmtId="6" fontId="6" fillId="0" borderId="0" xfId="0" applyNumberFormat="1" applyFont="1" applyAlignment="1"/>
    <xf numFmtId="49" fontId="6" fillId="0" borderId="0" xfId="0" applyNumberFormat="1" applyFont="1" applyAlignment="1"/>
    <xf numFmtId="0" fontId="6" fillId="0" borderId="0" xfId="0" applyFont="1" applyAlignment="1"/>
    <xf numFmtId="49" fontId="7" fillId="0" borderId="0" xfId="0" applyNumberFormat="1" applyFont="1" applyAlignment="1"/>
    <xf numFmtId="0" fontId="7" fillId="0" borderId="0" xfId="0" applyNumberFormat="1" applyFont="1" applyAlignment="1"/>
    <xf numFmtId="179" fontId="6" fillId="0" borderId="0" xfId="0" applyNumberFormat="1" applyFont="1" applyAlignment="1"/>
    <xf numFmtId="178" fontId="6" fillId="0" borderId="0" xfId="0" applyNumberFormat="1" applyFont="1" applyAlignment="1"/>
    <xf numFmtId="180" fontId="6" fillId="0" borderId="0" xfId="0" applyNumberFormat="1" applyFont="1" applyAlignment="1"/>
    <xf numFmtId="6" fontId="7" fillId="0" borderId="0" xfId="0" applyNumberFormat="1" applyFont="1" applyAlignment="1"/>
    <xf numFmtId="0" fontId="7" fillId="0" borderId="0" xfId="0" applyFont="1" applyAlignment="1"/>
    <xf numFmtId="0" fontId="6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0"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49" formatCode="@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49" formatCode="@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49" formatCode="@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49" formatCode="@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179" formatCode="dd/mm/yyyy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6" formatCode="&quot;$&quot;#,##0_);[Red]\(&quot;$&quot;#,##0\)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178" formatCode="0_);[Red]\(0\)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49" formatCode="@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theme="1"/>
      </font>
      <numFmt numFmtId="6" formatCode="&quot;$&quot;#,##0_);[Red]\(&quot;$&quot;#,##0\)"/>
    </dxf>
    <dxf>
      <font>
        <color theme="1"/>
      </font>
      <numFmt numFmtId="49" formatCode="@"/>
    </dxf>
    <dxf>
      <font>
        <color theme="1"/>
      </font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7"/>
        </patternFill>
      </fill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numFmt numFmtId="6" formatCode="&quot;$&quot;#,##0_);[Red]\(&quot;$&quot;#,##0\)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1" pivot="0" count="7" xr9:uid="{A98CE15B-0617-44FD-AA09-9F3C88052951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colors>
    <mruColors>
      <color rgb="00D2F8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[Date Format Change and Analysis.xlsx]sheet3!PivotTable2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rgbClr val="002060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sheet3!$A$2:$A$7</c:f>
              <c:strCache>
                <c:ptCount val="5"/>
                <c:pt idx="0">
                  <c:v>Basketball</c:v>
                </c:pt>
                <c:pt idx="1">
                  <c:v>Esports</c:v>
                </c:pt>
                <c:pt idx="2">
                  <c:v>Football</c:v>
                </c:pt>
                <c:pt idx="3">
                  <c:v>Swimming</c:v>
                </c:pt>
                <c:pt idx="4">
                  <c:v>Tennis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597412402"/>
        <c:axId val="923718410"/>
      </c:barChart>
      <c:catAx>
        <c:axId val="5974124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Sport</a:t>
                </a:r>
                <a:endParaRPr lang="en-US" altLang="en-GB"/>
              </a:p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718410"/>
        <c:crosses val="autoZero"/>
        <c:auto val="1"/>
        <c:lblAlgn val="ctr"/>
        <c:lblOffset val="100"/>
        <c:noMultiLvlLbl val="0"/>
      </c:catAx>
      <c:valAx>
        <c:axId val="9237184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Players</a:t>
                </a:r>
                <a:endParaRPr lang="en-US" altLang="en-GB"/>
              </a:p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4124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[Date Format Change and Analysis.xlsx]sheet3!PivotTable3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sheet3!$P$19</c:f>
              <c:strCache>
                <c:ptCount val="1"/>
                <c:pt idx="0">
                  <c:v>Sum of Sponsorship Value</c:v>
                </c:pt>
              </c:strCache>
            </c:strRef>
          </c:tx>
          <c:spPr>
            <a:gradFill>
              <a:gsLst>
                <a:gs pos="0">
                  <a:schemeClr val="accent1">
                    <a:tint val="76667"/>
                    <a:lumMod val="40000"/>
                    <a:lumOff val="60000"/>
                  </a:schemeClr>
                </a:gs>
                <a:gs pos="90000">
                  <a:schemeClr val="accent1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tint val="76667"/>
                    </a:schemeClr>
                  </a:gs>
                  <a:gs pos="100000">
                    <a:schemeClr val="accent1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sheet3!$O$20:$O$25</c:f>
              <c:strCache>
                <c:ptCount val="5"/>
                <c:pt idx="0">
                  <c:v>Basketball</c:v>
                </c:pt>
                <c:pt idx="1">
                  <c:v>Esports</c:v>
                </c:pt>
                <c:pt idx="2">
                  <c:v>Football</c:v>
                </c:pt>
                <c:pt idx="3">
                  <c:v>Swimming</c:v>
                </c:pt>
                <c:pt idx="4">
                  <c:v>Tennis</c:v>
                </c:pt>
              </c:strCache>
            </c:strRef>
          </c:cat>
          <c:val>
            <c:numRef>
              <c:f>sheet3!$P$20:$P$25</c:f>
              <c:numCache>
                <c:formatCode>General</c:formatCode>
                <c:ptCount val="5"/>
                <c:pt idx="0">
                  <c:v>850000</c:v>
                </c:pt>
                <c:pt idx="1">
                  <c:v>900000</c:v>
                </c:pt>
                <c:pt idx="2">
                  <c:v>1100000</c:v>
                </c:pt>
                <c:pt idx="3">
                  <c:v>135000</c:v>
                </c:pt>
                <c:pt idx="4">
                  <c:v>700000</c:v>
                </c:pt>
              </c:numCache>
            </c:numRef>
          </c:val>
        </c:ser>
        <c:ser>
          <c:idx val="1"/>
          <c:order val="1"/>
          <c:tx>
            <c:strRef>
              <c:f>sheet3!$Q$19</c:f>
              <c:strCache>
                <c:ptCount val="1"/>
                <c:pt idx="0">
                  <c:v>Sum of Monthly Salary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rgbClr val="002060"/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sheet3!$O$20:$O$25</c:f>
              <c:strCache>
                <c:ptCount val="5"/>
                <c:pt idx="0">
                  <c:v>Basketball</c:v>
                </c:pt>
                <c:pt idx="1">
                  <c:v>Esports</c:v>
                </c:pt>
                <c:pt idx="2">
                  <c:v>Football</c:v>
                </c:pt>
                <c:pt idx="3">
                  <c:v>Swimming</c:v>
                </c:pt>
                <c:pt idx="4">
                  <c:v>Tennis</c:v>
                </c:pt>
              </c:strCache>
            </c:strRef>
          </c:cat>
          <c:val>
            <c:numRef>
              <c:f>sheet3!$Q$20:$Q$25</c:f>
              <c:numCache>
                <c:formatCode>General</c:formatCode>
                <c:ptCount val="5"/>
                <c:pt idx="0">
                  <c:v>591000</c:v>
                </c:pt>
                <c:pt idx="1">
                  <c:v>614500</c:v>
                </c:pt>
                <c:pt idx="2">
                  <c:v>802000</c:v>
                </c:pt>
                <c:pt idx="3">
                  <c:v>390000</c:v>
                </c:pt>
                <c:pt idx="4">
                  <c:v>617500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906728"/>
        <c:axId val="678303975"/>
      </c:barChart>
      <c:catAx>
        <c:axId val="4790672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Sport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303975"/>
        <c:crosses val="autoZero"/>
        <c:auto val="1"/>
        <c:lblAlgn val="ctr"/>
        <c:lblOffset val="100"/>
        <c:noMultiLvlLbl val="0"/>
      </c:catAx>
      <c:valAx>
        <c:axId val="67830397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Salary&amp;Sponsorship value</a:t>
                </a:r>
                <a:endParaRPr lang="en-US" altLang="en-GB"/>
              </a:p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0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[Date Format Change and Analysis.xlsx]sheet3!PivotTable4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sheet3!$AK$8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tint val="76667"/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shade val="76667"/>
                      <a:lumMod val="40000"/>
                      <a:lumOff val="60000"/>
                    </a:schemeClr>
                  </a:gs>
                  <a:gs pos="90000">
                    <a:srgbClr val="002060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strRef>
              <c:f>sheet3!$AJ$9:$AJ$11</c:f>
              <c:strCache>
                <c:ptCount val="2"/>
                <c:pt idx="0">
                  <c:v>Active</c:v>
                </c:pt>
                <c:pt idx="1">
                  <c:v>Injured</c:v>
                </c:pt>
              </c:strCache>
            </c:strRef>
          </c:cat>
          <c:val>
            <c:numRef>
              <c:f>sheet3!$AK$9:$AK$11</c:f>
              <c:numCache>
                <c:formatCode>General</c:formatCode>
                <c:ptCount val="2"/>
                <c:pt idx="0">
                  <c:v>40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275157164572583"/>
          <c:y val="0.0116184970076915"/>
          <c:w val="0.961477996959838"/>
          <c:h val="0.835177427021067"/>
        </c:manualLayout>
      </c:layout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83100383"/>
        <c:axId val="83102783"/>
      </c:barChart>
      <c:catAx>
        <c:axId val="8310038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102783"/>
        <c:crosses val="autoZero"/>
        <c:auto val="1"/>
        <c:lblAlgn val="ctr"/>
        <c:lblOffset val="100"/>
        <c:noMultiLvlLbl val="0"/>
      </c:catAx>
      <c:valAx>
        <c:axId val="83102783"/>
        <c:scaling>
          <c:orientation val="minMax"/>
        </c:scaling>
        <c:delete val="1"/>
        <c:axPos val="l"/>
        <c:numFmt formatCode="#,##0_);\(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1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81109756097561"/>
          <c:y val="0.870355717960666"/>
          <c:w val="0.843336043360434"/>
          <c:h val="0.100037634408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7f7a4e-c3a3-4f16-a9d4-d70890891d0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[Date Format Change and Analysis.xlsx]sheet3!PivotTable2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rgbClr val="002060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rgbClr val="7030A0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rgbClr val="7030A0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rgbClr val="7030A0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invertIfNegative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rgbClr val="7030A0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invertIfNegative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rgbClr val="7030A0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sheet3!$A$2:$A$7</c:f>
              <c:strCache>
                <c:ptCount val="5"/>
                <c:pt idx="0">
                  <c:v>Basketball</c:v>
                </c:pt>
                <c:pt idx="1">
                  <c:v>Esports</c:v>
                </c:pt>
                <c:pt idx="2">
                  <c:v>Football</c:v>
                </c:pt>
                <c:pt idx="3">
                  <c:v>Swimming</c:v>
                </c:pt>
                <c:pt idx="4">
                  <c:v>Tennis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597412402"/>
        <c:axId val="923718410"/>
      </c:barChart>
      <c:catAx>
        <c:axId val="5974124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Sport</a:t>
                </a:r>
                <a:endParaRPr lang="en-US" altLang="en-GB"/>
              </a:p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718410"/>
        <c:crosses val="autoZero"/>
        <c:auto val="1"/>
        <c:lblAlgn val="ctr"/>
        <c:lblOffset val="100"/>
        <c:noMultiLvlLbl val="0"/>
      </c:catAx>
      <c:valAx>
        <c:axId val="9237184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Players</a:t>
                </a:r>
                <a:endParaRPr lang="en-US" altLang="en-GB"/>
              </a:p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4124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7c94036-d61c-41f7-b830-49c6e3651c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[Date Format Change and Analysis.xlsx]sheet3!PivotTable3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sheet3!$P$19</c:f>
              <c:strCache>
                <c:ptCount val="1"/>
                <c:pt idx="0">
                  <c:v>Sum of Sponsorship Value</c:v>
                </c:pt>
              </c:strCache>
            </c:strRef>
          </c:tx>
          <c:spPr>
            <a:gradFill>
              <a:gsLst>
                <a:gs pos="0">
                  <a:schemeClr val="accent1">
                    <a:tint val="76667"/>
                    <a:lumMod val="40000"/>
                    <a:lumOff val="60000"/>
                  </a:schemeClr>
                </a:gs>
                <a:gs pos="90000">
                  <a:schemeClr val="accent1">
                    <a:tint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tint val="76667"/>
                    </a:schemeClr>
                  </a:gs>
                  <a:gs pos="100000">
                    <a:schemeClr val="accent1">
                      <a:tint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tint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sheet3!$O$20:$O$25</c:f>
              <c:strCache>
                <c:ptCount val="5"/>
                <c:pt idx="0">
                  <c:v>Basketball</c:v>
                </c:pt>
                <c:pt idx="1">
                  <c:v>Esports</c:v>
                </c:pt>
                <c:pt idx="2">
                  <c:v>Football</c:v>
                </c:pt>
                <c:pt idx="3">
                  <c:v>Swimming</c:v>
                </c:pt>
                <c:pt idx="4">
                  <c:v>Tennis</c:v>
                </c:pt>
              </c:strCache>
            </c:strRef>
          </c:cat>
          <c:val>
            <c:numRef>
              <c:f>sheet3!$P$20:$P$25</c:f>
              <c:numCache>
                <c:formatCode>General</c:formatCode>
                <c:ptCount val="5"/>
                <c:pt idx="0">
                  <c:v>850000</c:v>
                </c:pt>
                <c:pt idx="1">
                  <c:v>900000</c:v>
                </c:pt>
                <c:pt idx="2">
                  <c:v>1100000</c:v>
                </c:pt>
                <c:pt idx="3">
                  <c:v>135000</c:v>
                </c:pt>
                <c:pt idx="4">
                  <c:v>700000</c:v>
                </c:pt>
              </c:numCache>
            </c:numRef>
          </c:val>
        </c:ser>
        <c:ser>
          <c:idx val="1"/>
          <c:order val="1"/>
          <c:tx>
            <c:strRef>
              <c:f>sheet3!$Q$19</c:f>
              <c:strCache>
                <c:ptCount val="1"/>
                <c:pt idx="0">
                  <c:v>Sum of Monthly Salary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rgbClr val="7030A0"/>
                </a:gs>
                <a:gs pos="100000">
                  <a:srgbClr val="002060"/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sheet3!$O$20:$O$25</c:f>
              <c:strCache>
                <c:ptCount val="5"/>
                <c:pt idx="0">
                  <c:v>Basketball</c:v>
                </c:pt>
                <c:pt idx="1">
                  <c:v>Esports</c:v>
                </c:pt>
                <c:pt idx="2">
                  <c:v>Football</c:v>
                </c:pt>
                <c:pt idx="3">
                  <c:v>Swimming</c:v>
                </c:pt>
                <c:pt idx="4">
                  <c:v>Tennis</c:v>
                </c:pt>
              </c:strCache>
            </c:strRef>
          </c:cat>
          <c:val>
            <c:numRef>
              <c:f>sheet3!$Q$20:$Q$25</c:f>
              <c:numCache>
                <c:formatCode>General</c:formatCode>
                <c:ptCount val="5"/>
                <c:pt idx="0">
                  <c:v>591000</c:v>
                </c:pt>
                <c:pt idx="1">
                  <c:v>614500</c:v>
                </c:pt>
                <c:pt idx="2">
                  <c:v>802000</c:v>
                </c:pt>
                <c:pt idx="3">
                  <c:v>390000</c:v>
                </c:pt>
                <c:pt idx="4">
                  <c:v>617500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906728"/>
        <c:axId val="678303975"/>
      </c:barChart>
      <c:catAx>
        <c:axId val="4790672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Sport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303975"/>
        <c:crosses val="autoZero"/>
        <c:auto val="1"/>
        <c:lblAlgn val="ctr"/>
        <c:lblOffset val="100"/>
        <c:noMultiLvlLbl val="0"/>
      </c:catAx>
      <c:valAx>
        <c:axId val="67830397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Salary&amp;Sponsorship value</a:t>
                </a:r>
                <a:endParaRPr lang="en-US" altLang="en-GB"/>
              </a:p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0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a07dd9-fe80-4a1c-b97a-e67f82266e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[Date Format Change and Analysis.xlsx]sheet3!PivotTable4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sheet3!$AK$8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tint val="76667"/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shade val="76667"/>
                      <a:lumMod val="40000"/>
                      <a:lumOff val="60000"/>
                    </a:schemeClr>
                  </a:gs>
                  <a:gs pos="90000">
                    <a:srgbClr val="7030A0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strRef>
              <c:f>sheet3!$AJ$9:$AJ$11</c:f>
              <c:strCache>
                <c:ptCount val="2"/>
                <c:pt idx="0">
                  <c:v>Active</c:v>
                </c:pt>
                <c:pt idx="1">
                  <c:v>Injured</c:v>
                </c:pt>
              </c:strCache>
            </c:strRef>
          </c:cat>
          <c:val>
            <c:numRef>
              <c:f>sheet3!$AK$9:$AK$11</c:f>
              <c:numCache>
                <c:formatCode>General</c:formatCode>
                <c:ptCount val="2"/>
                <c:pt idx="0">
                  <c:v>40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4edeef-1a3e-4e68-9278-653cd9ec89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220345</xdr:colOff>
      <xdr:row>0</xdr:row>
      <xdr:rowOff>101600</xdr:rowOff>
    </xdr:from>
    <xdr:to>
      <xdr:col>10</xdr:col>
      <xdr:colOff>169545</xdr:colOff>
      <xdr:row>17</xdr:row>
      <xdr:rowOff>92075</xdr:rowOff>
    </xdr:to>
    <xdr:graphicFrame>
      <xdr:nvGraphicFramePr>
        <xdr:cNvPr id="2" name="Chart 1"/>
        <xdr:cNvGraphicFramePr/>
      </xdr:nvGraphicFramePr>
      <xdr:xfrm>
        <a:off x="2363470" y="101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1530350</xdr:colOff>
      <xdr:row>1</xdr:row>
      <xdr:rowOff>48895</xdr:rowOff>
    </xdr:from>
    <xdr:to>
      <xdr:col>28</xdr:col>
      <xdr:colOff>346075</xdr:colOff>
      <xdr:row>18</xdr:row>
      <xdr:rowOff>39370</xdr:rowOff>
    </xdr:to>
    <xdr:graphicFrame>
      <xdr:nvGraphicFramePr>
        <xdr:cNvPr id="3" name="Chart 2"/>
        <xdr:cNvGraphicFramePr/>
      </xdr:nvGraphicFramePr>
      <xdr:xfrm>
        <a:off x="13512800" y="210820"/>
        <a:ext cx="7207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584200</xdr:colOff>
      <xdr:row>14</xdr:row>
      <xdr:rowOff>39370</xdr:rowOff>
    </xdr:from>
    <xdr:to>
      <xdr:col>38</xdr:col>
      <xdr:colOff>533400</xdr:colOff>
      <xdr:row>31</xdr:row>
      <xdr:rowOff>29845</xdr:rowOff>
    </xdr:to>
    <xdr:graphicFrame>
      <xdr:nvGraphicFramePr>
        <xdr:cNvPr id="4" name="Chart 3"/>
        <xdr:cNvGraphicFramePr/>
      </xdr:nvGraphicFramePr>
      <xdr:xfrm>
        <a:off x="22177375" y="2306320"/>
        <a:ext cx="57499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31</xdr:row>
      <xdr:rowOff>114788</xdr:rowOff>
    </xdr:from>
    <xdr:to>
      <xdr:col>15</xdr:col>
      <xdr:colOff>253672</xdr:colOff>
      <xdr:row>32</xdr:row>
      <xdr:rowOff>133508</xdr:rowOff>
    </xdr:to>
    <xdr:graphicFrame>
      <xdr:nvGraphicFramePr>
        <xdr:cNvPr id="3" name="Chart 2"/>
        <xdr:cNvGraphicFramePr/>
      </xdr:nvGraphicFramePr>
      <xdr:xfrm>
        <a:off x="6600825" y="6962775"/>
        <a:ext cx="2653665" cy="200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</xdr:row>
      <xdr:rowOff>0</xdr:rowOff>
    </xdr:from>
    <xdr:to>
      <xdr:col>6</xdr:col>
      <xdr:colOff>6350</xdr:colOff>
      <xdr:row>16</xdr:row>
      <xdr:rowOff>161925</xdr:rowOff>
    </xdr:to>
    <xdr:graphicFrame>
      <xdr:nvGraphicFramePr>
        <xdr:cNvPr id="4" name="Chart 3"/>
        <xdr:cNvGraphicFramePr/>
      </xdr:nvGraphicFramePr>
      <xdr:xfrm>
        <a:off x="9525" y="327660"/>
        <a:ext cx="3597275" cy="287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18415</xdr:colOff>
      <xdr:row>1</xdr:row>
      <xdr:rowOff>12065</xdr:rowOff>
    </xdr:from>
    <xdr:to>
      <xdr:col>15</xdr:col>
      <xdr:colOff>581660</xdr:colOff>
      <xdr:row>16</xdr:row>
      <xdr:rowOff>165735</xdr:rowOff>
    </xdr:to>
    <xdr:graphicFrame>
      <xdr:nvGraphicFramePr>
        <xdr:cNvPr id="5" name="Chart 4"/>
        <xdr:cNvGraphicFramePr/>
      </xdr:nvGraphicFramePr>
      <xdr:xfrm>
        <a:off x="3618865" y="339725"/>
        <a:ext cx="5963920" cy="2868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24765</xdr:colOff>
      <xdr:row>18</xdr:row>
      <xdr:rowOff>10795</xdr:rowOff>
    </xdr:from>
    <xdr:to>
      <xdr:col>8</xdr:col>
      <xdr:colOff>393700</xdr:colOff>
      <xdr:row>32</xdr:row>
      <xdr:rowOff>77470</xdr:rowOff>
    </xdr:to>
    <xdr:graphicFrame>
      <xdr:nvGraphicFramePr>
        <xdr:cNvPr id="6" name="Chart 5"/>
        <xdr:cNvGraphicFramePr/>
      </xdr:nvGraphicFramePr>
      <xdr:xfrm>
        <a:off x="24765" y="4506595"/>
        <a:ext cx="5169535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11</xdr:row>
      <xdr:rowOff>28575</xdr:rowOff>
    </xdr:from>
    <xdr:to>
      <xdr:col>2</xdr:col>
      <xdr:colOff>780415</xdr:colOff>
      <xdr:row>13</xdr:row>
      <xdr:rowOff>86995</xdr:rowOff>
    </xdr:to>
    <xdr:sp>
      <xdr:nvSpPr>
        <xdr:cNvPr id="2" name="Rounded Rectangle 1"/>
        <xdr:cNvSpPr/>
      </xdr:nvSpPr>
      <xdr:spPr>
        <a:xfrm>
          <a:off x="66675" y="1809750"/>
          <a:ext cx="3237865" cy="382270"/>
        </a:xfrm>
        <a:prstGeom prst="roundRect">
          <a:avLst/>
        </a:prstGeom>
        <a:solidFill>
          <a:srgbClr val="D2F8FA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altLang="en-GB" sz="1100" b="1">
              <a:solidFill>
                <a:schemeClr val="accent2">
                  <a:lumMod val="50000"/>
                </a:schemeClr>
              </a:solidFill>
            </a:rPr>
            <a:t>Sport Causing agency to lose</a:t>
          </a:r>
          <a:r>
            <a:rPr lang="en-US" altLang="en-GB" sz="1100"/>
            <a:t> </a:t>
          </a:r>
          <a:r>
            <a:rPr lang="en-US" altLang="en-GB" sz="1100" b="1">
              <a:solidFill>
                <a:srgbClr val="002060"/>
              </a:solidFill>
            </a:rPr>
            <a:t>: Swimming</a:t>
          </a:r>
          <a:endParaRPr lang="en-US" altLang="en-GB" sz="1100" b="1">
            <a:solidFill>
              <a:srgbClr val="00206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9.7067013889" refreshedBy="Nada" recordCount="50">
  <cacheSource type="worksheet">
    <worksheetSource name="Table1"/>
  </cacheSource>
  <cacheFields count="12">
    <cacheField name="Athlete ID" numFmtId="49">
      <sharedItems count="50">
        <s v="ATH-001"/>
        <s v="ATH-002"/>
        <s v="ATH-003"/>
        <s v="ATH-004"/>
        <s v="ATH-005"/>
        <s v="ATH-006"/>
        <s v="ATH-007"/>
        <s v="ATH-008"/>
        <s v="ATH-009"/>
        <s v="ATH-010"/>
        <s v="ATH-011"/>
        <s v="ATH-012"/>
        <s v="ATH-013"/>
        <s v="ATH-014"/>
        <s v="ATH-015"/>
        <s v="ATH-016"/>
        <s v="ATH-017"/>
        <s v="ATH-018"/>
        <s v="ATH-019"/>
        <s v="ATH-020"/>
        <s v="ATH-021"/>
        <s v="ATH-022"/>
        <s v="ATH-023"/>
        <s v="ATH-024"/>
        <s v="ATH-025"/>
        <s v="ATH-026"/>
        <s v="ATH-027"/>
        <s v="ATH-028"/>
        <s v="ATH-029"/>
        <s v="ATH-030"/>
        <s v="ATH-031"/>
        <s v="ATH-032"/>
        <s v="ATH-033"/>
        <s v="ATH-034"/>
        <s v="ATH-035"/>
        <s v="ATH-036"/>
        <s v="ATH-037"/>
        <s v="ATH-038"/>
        <s v="ATH-039"/>
        <s v="ATH-040"/>
        <s v="ATH-041"/>
        <s v="ATH-042"/>
        <s v="ATH-043"/>
        <s v="ATH-044"/>
        <s v="ATH-045"/>
        <s v="ATH-046"/>
        <s v="ATH-047"/>
        <s v="ATH-048"/>
        <s v="ATH-049"/>
        <s v="ATH-050"/>
      </sharedItems>
    </cacheField>
    <cacheField name="Name" numFmtId="49">
      <sharedItems count="50">
        <s v="Liam Carter"/>
        <s v="Emma Radu"/>
        <s v="Noah Vance"/>
        <s v="Olivia Pen"/>
        <s v="Lucas Trent"/>
        <s v="Mia Wong"/>
        <s v="Ethan Hunt"/>
        <s v="Ava Smith"/>
        <s v="Mason Ray"/>
        <s v="Sophia Lee"/>
        <s v="Logan Fox"/>
        <s v="Harper Day"/>
        <s v="Aiden Cole"/>
        <s v="Chloe Bae"/>
        <s v="Jack Kace"/>
        <s v="Lily Lane"/>
        <s v="Ryan Dale"/>
        <s v="Zoe Finn"/>
        <s v="Luke Pitt"/>
        <s v="Stella May"/>
        <s v="Caleb Dune"/>
        <s v="Nora Bell"/>
        <s v="Isaac Reed"/>
        <s v="Maya Cruz"/>
        <s v="Owen Shaw"/>
        <s v="Ruby West"/>
        <s v="Wyatt Knox"/>
        <s v="Mila Vane"/>
        <s v="Jayden Jax"/>
        <s v="Aria Moon"/>
        <s v="Levi Zane"/>
        <s v="Ella Rose"/>
        <s v="Eli Nash"/>
        <s v="Hazel Dean"/>
        <s v="Ezra Holt"/>
        <s v="Lucy Byrd"/>
        <s v="Asher King"/>
        <s v="Anna Ford"/>
        <s v="Leo Vance"/>
        <s v="Sara Grey"/>
        <s v="Max Duke"/>
        <s v="Eden Lake"/>
        <s v="Jace Dunn"/>
        <s v="Hope Burr"/>
        <s v="Kai Ward"/>
        <s v="Skye Tate"/>
        <s v="Zion Rush"/>
        <s v="Jade Ross"/>
        <s v="Beau Kent"/>
        <s v="Cora Beck"/>
      </sharedItems>
    </cacheField>
    <cacheField name="Sport" numFmtId="49">
      <sharedItems count="5">
        <s v="Football"/>
        <s v="Tennis"/>
        <s v="Basketball"/>
        <s v="Swimming"/>
        <s v="Esports"/>
      </sharedItems>
    </cacheField>
    <cacheField name="Level" numFmtId="49">
      <sharedItems count="3">
        <s v="A"/>
        <s v="B"/>
        <s v="C"/>
      </sharedItems>
    </cacheField>
    <cacheField name="Date of Joining" numFmtId="0">
      <sharedItems containsSemiMixedTypes="0" containsString="0" containsNonDate="0" containsDate="1" minDate="2018-05-18T00:00:00" maxDate="2025-03-08T00:00:00" count="50">
        <d v="2019-01-12T00:00:00"/>
        <d v="2020-03-05T00:00:00"/>
        <d v="2021-08-22T00:00:00"/>
        <d v="2023-02-10T00:00:00"/>
        <d v="2020-11-15T00:00:00"/>
        <d v="2022-07-30T00:00:00"/>
        <d v="2018-05-18T00:00:00"/>
        <d v="2024-09-05T00:00:00"/>
        <d v="2023-10-11T00:00:00"/>
        <d v="2019-02-20T00:00:00"/>
        <d v="2021-06-14T00:00:00"/>
        <d v="2022-12-09T00:00:00"/>
        <d v="2020-01-25T00:00:00"/>
        <d v="2024-04-17T00:00:00"/>
        <d v="2021-11-03T00:00:00"/>
        <d v="2019-08-19T00:00:00"/>
        <d v="2022-02-28T00:00:00"/>
        <d v="2018-07-07T00:00:00"/>
        <d v="2021-05-12T00:00:00"/>
        <d v="2023-09-01T00:00:00"/>
        <d v="2022-01-21T00:00:00"/>
        <d v="2019-10-16T00:00:00"/>
        <d v="2025-03-08T00:00:00"/>
        <d v="2021-11-29T00:00:00"/>
        <d v="2020-06-04T00:00:00"/>
        <d v="2024-02-15T00:00:00"/>
        <d v="2022-07-11T00:00:00"/>
        <d v="2018-08-23T00:00:00"/>
        <d v="2023-10-06T00:00:00"/>
        <d v="2021-12-19T00:00:00"/>
        <d v="2019-05-02T00:00:00"/>
        <d v="2024-03-27T00:00:00"/>
        <d v="2022-01-14T00:00:00"/>
        <d v="2020-09-09T00:00:00"/>
        <d v="2023-11-22T00:00:00"/>
        <d v="2021-04-30T00:00:00"/>
        <d v="2019-02-18T00:00:00"/>
        <d v="2024-08-05T00:00:00"/>
        <d v="2022-12-12T00:00:00"/>
        <d v="2018-10-26T00:00:00"/>
        <d v="2025-01-17T00:00:00"/>
        <d v="2021-06-03T00:00:00"/>
        <d v="2020-09-21T00:00:00"/>
        <d v="2024-02-08T00:00:00"/>
        <d v="2022-07-14T00:00:00"/>
        <d v="2019-03-29T00:00:00"/>
        <d v="2023-11-11T00:00:00"/>
        <d v="2021-05-07T00:00:00"/>
        <d v="2018-08-24T00:00:00"/>
        <d v="2024-12-02T00:00:00"/>
      </sharedItems>
      <fieldGroup base="4">
        <rangePr groupBy="months" startDate="2018-05-18T00:00:00" endDate="2025-03-08T00:00:00" groupInterval="1"/>
        <groupItems count="14">
          <s v="&lt;5/18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8/2025"/>
        </groupItems>
      </fieldGroup>
    </cacheField>
    <cacheField name="Monthly Salary" numFmtId="6">
      <sharedItems containsSemiMixedTypes="0" containsString="0" containsNumber="1" containsInteger="1" minValue="4500" maxValue="150000" count="48">
        <n v="120000"/>
        <n v="95000"/>
        <n v="45000"/>
        <n v="8500"/>
        <n v="110000"/>
        <n v="35000"/>
        <n v="130000"/>
        <n v="12000"/>
        <n v="5000"/>
        <n v="140000"/>
        <n v="28000"/>
        <n v="42000"/>
        <n v="115000"/>
        <n v="9000"/>
        <n v="55000"/>
        <n v="125000"/>
        <n v="48000"/>
        <n v="90000"/>
        <n v="50000"/>
        <n v="15000"/>
        <n v="38000"/>
        <n v="135000"/>
        <n v="10000"/>
        <n v="32000"/>
        <n v="105000"/>
        <n v="6000"/>
        <n v="40000"/>
        <n v="145000"/>
        <n v="7500"/>
        <n v="47000"/>
        <n v="118000"/>
        <n v="11000"/>
        <n v="60000"/>
        <n v="8000"/>
        <n v="36000"/>
        <n v="128000"/>
        <n v="14000"/>
        <n v="30000"/>
        <n v="112000"/>
        <n v="4500"/>
        <n v="44000"/>
        <n v="150000"/>
        <n v="7000"/>
        <n v="52000"/>
        <n v="13000"/>
        <n v="58000"/>
        <n v="92000"/>
        <n v="9500"/>
      </sharedItems>
    </cacheField>
    <cacheField name="Matches Won" numFmtId="178">
      <sharedItems containsSemiMixedTypes="0" containsString="0" containsNumber="1" containsInteger="1" minValue="0" maxValue="42" count="32">
        <n v="18"/>
        <n v="25"/>
        <n v="14"/>
        <n v="12"/>
        <n v="4"/>
        <n v="20"/>
        <n v="2"/>
        <n v="8"/>
        <n v="35"/>
        <n v="3"/>
        <n v="15"/>
        <n v="19"/>
        <n v="42"/>
        <n v="11"/>
        <n v="0"/>
        <n v="38"/>
        <n v="16"/>
        <n v="22"/>
        <n v="10"/>
        <n v="21"/>
        <n v="5"/>
        <n v="28"/>
        <n v="24"/>
        <n v="40"/>
        <n v="9"/>
        <n v="1"/>
        <n v="26"/>
        <n v="13"/>
        <n v="17"/>
        <n v="6"/>
        <n v="30"/>
        <n v="7"/>
      </sharedItems>
    </cacheField>
    <cacheField name="Status" numFmtId="49">
      <sharedItems count="3">
        <s v="Active"/>
        <s v="Injured"/>
        <s v="Retired"/>
      </sharedItems>
    </cacheField>
    <cacheField name="Sponsorship Value" numFmtId="6">
      <sharedItems containsSemiMixedTypes="0" containsString="0" containsNumber="1" containsInteger="1" minValue="15000" maxValue="100000" count="5">
        <n v="100000"/>
        <n v="70000"/>
        <n v="85000"/>
        <n v="15000"/>
        <n v="90000"/>
      </sharedItems>
    </cacheField>
    <cacheField name="Performance Category" numFmtId="49">
      <sharedItems count="2">
        <s v="Star"/>
        <s v="Under Review"/>
      </sharedItems>
    </cacheField>
    <cacheField name="Contract" numFmtId="0">
      <sharedItems count="2">
        <s v="Keep Player"/>
        <s v="Review Contract"/>
      </sharedItems>
    </cacheField>
    <cacheField name="Years" numFmtId="0" databaseField="0">
      <fieldGroup base="4">
        <rangePr groupBy="years" startDate="2018-05-18T00:00:00" endDate="2025-03-08T00:00:00" groupInterval="1"/>
        <groupItems count="10">
          <s v="&lt;5/18/2018"/>
          <s v="2018"/>
          <s v="2019"/>
          <s v="2020"/>
          <s v="2021"/>
          <s v="2022"/>
          <s v="2023"/>
          <s v="2024"/>
          <s v="2025"/>
          <s v="&gt;3/8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0"/>
    <x v="0"/>
  </r>
  <r>
    <x v="2"/>
    <x v="2"/>
    <x v="2"/>
    <x v="1"/>
    <x v="2"/>
    <x v="2"/>
    <x v="2"/>
    <x v="0"/>
    <x v="2"/>
    <x v="0"/>
    <x v="0"/>
  </r>
  <r>
    <x v="3"/>
    <x v="3"/>
    <x v="3"/>
    <x v="2"/>
    <x v="3"/>
    <x v="3"/>
    <x v="3"/>
    <x v="0"/>
    <x v="3"/>
    <x v="0"/>
    <x v="0"/>
  </r>
  <r>
    <x v="4"/>
    <x v="4"/>
    <x v="4"/>
    <x v="0"/>
    <x v="4"/>
    <x v="4"/>
    <x v="4"/>
    <x v="1"/>
    <x v="4"/>
    <x v="1"/>
    <x v="1"/>
  </r>
  <r>
    <x v="5"/>
    <x v="5"/>
    <x v="0"/>
    <x v="1"/>
    <x v="5"/>
    <x v="5"/>
    <x v="5"/>
    <x v="0"/>
    <x v="0"/>
    <x v="0"/>
    <x v="0"/>
  </r>
  <r>
    <x v="6"/>
    <x v="6"/>
    <x v="1"/>
    <x v="0"/>
    <x v="6"/>
    <x v="6"/>
    <x v="6"/>
    <x v="1"/>
    <x v="1"/>
    <x v="1"/>
    <x v="1"/>
  </r>
  <r>
    <x v="7"/>
    <x v="7"/>
    <x v="2"/>
    <x v="2"/>
    <x v="7"/>
    <x v="7"/>
    <x v="7"/>
    <x v="0"/>
    <x v="2"/>
    <x v="1"/>
    <x v="0"/>
  </r>
  <r>
    <x v="8"/>
    <x v="8"/>
    <x v="4"/>
    <x v="2"/>
    <x v="8"/>
    <x v="8"/>
    <x v="8"/>
    <x v="0"/>
    <x v="4"/>
    <x v="0"/>
    <x v="0"/>
  </r>
  <r>
    <x v="9"/>
    <x v="9"/>
    <x v="0"/>
    <x v="0"/>
    <x v="9"/>
    <x v="9"/>
    <x v="9"/>
    <x v="2"/>
    <x v="0"/>
    <x v="1"/>
    <x v="0"/>
  </r>
  <r>
    <x v="10"/>
    <x v="10"/>
    <x v="3"/>
    <x v="1"/>
    <x v="10"/>
    <x v="10"/>
    <x v="10"/>
    <x v="0"/>
    <x v="3"/>
    <x v="0"/>
    <x v="0"/>
  </r>
  <r>
    <x v="11"/>
    <x v="11"/>
    <x v="4"/>
    <x v="1"/>
    <x v="11"/>
    <x v="11"/>
    <x v="11"/>
    <x v="0"/>
    <x v="4"/>
    <x v="0"/>
    <x v="0"/>
  </r>
  <r>
    <x v="12"/>
    <x v="12"/>
    <x v="2"/>
    <x v="0"/>
    <x v="12"/>
    <x v="12"/>
    <x v="12"/>
    <x v="0"/>
    <x v="2"/>
    <x v="0"/>
    <x v="0"/>
  </r>
  <r>
    <x v="13"/>
    <x v="13"/>
    <x v="1"/>
    <x v="2"/>
    <x v="13"/>
    <x v="13"/>
    <x v="13"/>
    <x v="0"/>
    <x v="1"/>
    <x v="0"/>
    <x v="0"/>
  </r>
  <r>
    <x v="14"/>
    <x v="14"/>
    <x v="0"/>
    <x v="1"/>
    <x v="14"/>
    <x v="14"/>
    <x v="14"/>
    <x v="1"/>
    <x v="0"/>
    <x v="1"/>
    <x v="1"/>
  </r>
  <r>
    <x v="15"/>
    <x v="15"/>
    <x v="4"/>
    <x v="0"/>
    <x v="15"/>
    <x v="15"/>
    <x v="15"/>
    <x v="0"/>
    <x v="4"/>
    <x v="0"/>
    <x v="0"/>
  </r>
  <r>
    <x v="16"/>
    <x v="16"/>
    <x v="2"/>
    <x v="1"/>
    <x v="16"/>
    <x v="16"/>
    <x v="16"/>
    <x v="0"/>
    <x v="2"/>
    <x v="0"/>
    <x v="0"/>
  </r>
  <r>
    <x v="17"/>
    <x v="17"/>
    <x v="3"/>
    <x v="0"/>
    <x v="17"/>
    <x v="17"/>
    <x v="17"/>
    <x v="0"/>
    <x v="3"/>
    <x v="0"/>
    <x v="0"/>
  </r>
  <r>
    <x v="18"/>
    <x v="18"/>
    <x v="1"/>
    <x v="1"/>
    <x v="18"/>
    <x v="18"/>
    <x v="0"/>
    <x v="0"/>
    <x v="1"/>
    <x v="0"/>
    <x v="0"/>
  </r>
  <r>
    <x v="19"/>
    <x v="19"/>
    <x v="0"/>
    <x v="2"/>
    <x v="19"/>
    <x v="19"/>
    <x v="18"/>
    <x v="0"/>
    <x v="0"/>
    <x v="1"/>
    <x v="0"/>
  </r>
  <r>
    <x v="20"/>
    <x v="20"/>
    <x v="4"/>
    <x v="1"/>
    <x v="20"/>
    <x v="20"/>
    <x v="19"/>
    <x v="0"/>
    <x v="4"/>
    <x v="0"/>
    <x v="0"/>
  </r>
  <r>
    <x v="21"/>
    <x v="21"/>
    <x v="2"/>
    <x v="0"/>
    <x v="21"/>
    <x v="21"/>
    <x v="20"/>
    <x v="1"/>
    <x v="2"/>
    <x v="1"/>
    <x v="0"/>
  </r>
  <r>
    <x v="22"/>
    <x v="22"/>
    <x v="0"/>
    <x v="2"/>
    <x v="22"/>
    <x v="22"/>
    <x v="6"/>
    <x v="0"/>
    <x v="0"/>
    <x v="1"/>
    <x v="0"/>
  </r>
  <r>
    <x v="23"/>
    <x v="23"/>
    <x v="3"/>
    <x v="1"/>
    <x v="23"/>
    <x v="23"/>
    <x v="2"/>
    <x v="0"/>
    <x v="3"/>
    <x v="0"/>
    <x v="0"/>
  </r>
  <r>
    <x v="24"/>
    <x v="24"/>
    <x v="1"/>
    <x v="0"/>
    <x v="24"/>
    <x v="24"/>
    <x v="21"/>
    <x v="0"/>
    <x v="1"/>
    <x v="0"/>
    <x v="0"/>
  </r>
  <r>
    <x v="25"/>
    <x v="25"/>
    <x v="4"/>
    <x v="2"/>
    <x v="25"/>
    <x v="25"/>
    <x v="22"/>
    <x v="0"/>
    <x v="4"/>
    <x v="0"/>
    <x v="0"/>
  </r>
  <r>
    <x v="26"/>
    <x v="26"/>
    <x v="2"/>
    <x v="1"/>
    <x v="26"/>
    <x v="26"/>
    <x v="3"/>
    <x v="0"/>
    <x v="2"/>
    <x v="0"/>
    <x v="0"/>
  </r>
  <r>
    <x v="27"/>
    <x v="27"/>
    <x v="0"/>
    <x v="0"/>
    <x v="27"/>
    <x v="27"/>
    <x v="14"/>
    <x v="2"/>
    <x v="0"/>
    <x v="1"/>
    <x v="0"/>
  </r>
  <r>
    <x v="28"/>
    <x v="28"/>
    <x v="3"/>
    <x v="2"/>
    <x v="28"/>
    <x v="28"/>
    <x v="10"/>
    <x v="0"/>
    <x v="3"/>
    <x v="0"/>
    <x v="0"/>
  </r>
  <r>
    <x v="29"/>
    <x v="29"/>
    <x v="1"/>
    <x v="1"/>
    <x v="29"/>
    <x v="29"/>
    <x v="5"/>
    <x v="0"/>
    <x v="1"/>
    <x v="0"/>
    <x v="0"/>
  </r>
  <r>
    <x v="30"/>
    <x v="30"/>
    <x v="4"/>
    <x v="0"/>
    <x v="30"/>
    <x v="30"/>
    <x v="23"/>
    <x v="0"/>
    <x v="4"/>
    <x v="0"/>
    <x v="0"/>
  </r>
  <r>
    <x v="31"/>
    <x v="31"/>
    <x v="2"/>
    <x v="2"/>
    <x v="31"/>
    <x v="31"/>
    <x v="24"/>
    <x v="0"/>
    <x v="2"/>
    <x v="1"/>
    <x v="0"/>
  </r>
  <r>
    <x v="32"/>
    <x v="32"/>
    <x v="0"/>
    <x v="1"/>
    <x v="32"/>
    <x v="32"/>
    <x v="25"/>
    <x v="1"/>
    <x v="0"/>
    <x v="1"/>
    <x v="1"/>
  </r>
  <r>
    <x v="33"/>
    <x v="33"/>
    <x v="3"/>
    <x v="0"/>
    <x v="33"/>
    <x v="1"/>
    <x v="26"/>
    <x v="0"/>
    <x v="3"/>
    <x v="0"/>
    <x v="0"/>
  </r>
  <r>
    <x v="34"/>
    <x v="34"/>
    <x v="1"/>
    <x v="2"/>
    <x v="34"/>
    <x v="33"/>
    <x v="27"/>
    <x v="0"/>
    <x v="1"/>
    <x v="0"/>
    <x v="0"/>
  </r>
  <r>
    <x v="35"/>
    <x v="35"/>
    <x v="4"/>
    <x v="1"/>
    <x v="35"/>
    <x v="34"/>
    <x v="28"/>
    <x v="0"/>
    <x v="4"/>
    <x v="0"/>
    <x v="0"/>
  </r>
  <r>
    <x v="36"/>
    <x v="36"/>
    <x v="2"/>
    <x v="0"/>
    <x v="36"/>
    <x v="35"/>
    <x v="8"/>
    <x v="0"/>
    <x v="2"/>
    <x v="0"/>
    <x v="0"/>
  </r>
  <r>
    <x v="37"/>
    <x v="37"/>
    <x v="0"/>
    <x v="2"/>
    <x v="37"/>
    <x v="36"/>
    <x v="29"/>
    <x v="0"/>
    <x v="0"/>
    <x v="1"/>
    <x v="0"/>
  </r>
  <r>
    <x v="38"/>
    <x v="38"/>
    <x v="3"/>
    <x v="1"/>
    <x v="38"/>
    <x v="37"/>
    <x v="13"/>
    <x v="0"/>
    <x v="3"/>
    <x v="0"/>
    <x v="0"/>
  </r>
  <r>
    <x v="39"/>
    <x v="39"/>
    <x v="1"/>
    <x v="0"/>
    <x v="39"/>
    <x v="38"/>
    <x v="14"/>
    <x v="1"/>
    <x v="1"/>
    <x v="1"/>
    <x v="1"/>
  </r>
  <r>
    <x v="40"/>
    <x v="40"/>
    <x v="4"/>
    <x v="2"/>
    <x v="40"/>
    <x v="39"/>
    <x v="0"/>
    <x v="0"/>
    <x v="4"/>
    <x v="0"/>
    <x v="0"/>
  </r>
  <r>
    <x v="41"/>
    <x v="41"/>
    <x v="2"/>
    <x v="1"/>
    <x v="41"/>
    <x v="40"/>
    <x v="11"/>
    <x v="0"/>
    <x v="2"/>
    <x v="0"/>
    <x v="0"/>
  </r>
  <r>
    <x v="42"/>
    <x v="42"/>
    <x v="0"/>
    <x v="0"/>
    <x v="42"/>
    <x v="41"/>
    <x v="30"/>
    <x v="0"/>
    <x v="0"/>
    <x v="0"/>
    <x v="0"/>
  </r>
  <r>
    <x v="43"/>
    <x v="43"/>
    <x v="3"/>
    <x v="2"/>
    <x v="43"/>
    <x v="42"/>
    <x v="18"/>
    <x v="0"/>
    <x v="3"/>
    <x v="1"/>
    <x v="0"/>
  </r>
  <r>
    <x v="44"/>
    <x v="44"/>
    <x v="1"/>
    <x v="1"/>
    <x v="44"/>
    <x v="43"/>
    <x v="17"/>
    <x v="0"/>
    <x v="1"/>
    <x v="0"/>
    <x v="0"/>
  </r>
  <r>
    <x v="45"/>
    <x v="45"/>
    <x v="4"/>
    <x v="0"/>
    <x v="45"/>
    <x v="6"/>
    <x v="20"/>
    <x v="1"/>
    <x v="4"/>
    <x v="1"/>
    <x v="0"/>
  </r>
  <r>
    <x v="46"/>
    <x v="46"/>
    <x v="2"/>
    <x v="2"/>
    <x v="46"/>
    <x v="44"/>
    <x v="2"/>
    <x v="0"/>
    <x v="2"/>
    <x v="0"/>
    <x v="0"/>
  </r>
  <r>
    <x v="47"/>
    <x v="47"/>
    <x v="0"/>
    <x v="1"/>
    <x v="47"/>
    <x v="45"/>
    <x v="28"/>
    <x v="0"/>
    <x v="0"/>
    <x v="0"/>
    <x v="0"/>
  </r>
  <r>
    <x v="48"/>
    <x v="48"/>
    <x v="3"/>
    <x v="0"/>
    <x v="48"/>
    <x v="46"/>
    <x v="14"/>
    <x v="2"/>
    <x v="3"/>
    <x v="1"/>
    <x v="0"/>
  </r>
  <r>
    <x v="49"/>
    <x v="49"/>
    <x v="1"/>
    <x v="2"/>
    <x v="49"/>
    <x v="47"/>
    <x v="31"/>
    <x v="0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7" firstHeaderRow="1" firstDataRow="1" firstDataCol="1"/>
  <pivotFields count="12">
    <pivotField dataField="1" compact="0" showAll="0"/>
    <pivotField compact="0" showAll="0"/>
    <pivotField axis="axisRow" compact="0" showAll="0">
      <items count="6">
        <item x="2"/>
        <item x="4"/>
        <item x="0"/>
        <item x="3"/>
        <item x="1"/>
        <item t="default"/>
      </items>
    </pivotField>
    <pivotField compact="0" showAll="0"/>
    <pivotField compact="0" showAll="0"/>
    <pivotField compact="0" numFmtId="6" showAll="0"/>
    <pivotField compact="0" numFmtId="178" showAll="0"/>
    <pivotField compact="0" showAll="0"/>
    <pivotField compact="0" numFmtId="6" showAll="0"/>
    <pivotField compact="0" showAll="0"/>
    <pivotField compact="0" showAll="0"/>
    <pivotField compact="0" defaultSubtotal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thlete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O19:Q25" firstHeaderRow="0" firstDataRow="1" firstDataCol="1"/>
  <pivotFields count="12">
    <pivotField compact="0" showAll="0"/>
    <pivotField compact="0" showAll="0"/>
    <pivotField axis="axisRow" compact="0" showAll="0">
      <items count="6">
        <item x="2"/>
        <item x="4"/>
        <item x="0"/>
        <item x="3"/>
        <item x="1"/>
        <item t="default"/>
      </items>
    </pivotField>
    <pivotField compact="0" showAll="0"/>
    <pivotField compact="0" showAll="0"/>
    <pivotField dataField="1" compact="0" numFmtId="6" showAll="0"/>
    <pivotField compact="0" numFmtId="178" showAll="0"/>
    <pivotField compact="0" showAll="0"/>
    <pivotField dataField="1" compact="0" numFmtId="6" showAll="0"/>
    <pivotField compact="0" showAll="0"/>
    <pivotField compact="0" showAll="0"/>
    <pivotField compact="0" defaultSubtotal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onsorship Value" fld="8" baseField="0" baseItem="0"/>
    <dataField name="Sum of Monthly Salary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J8:AK11" firstHeaderRow="1" firstDataRow="1" firstDataCol="1"/>
  <pivotFields count="12">
    <pivotField dataField="1" compact="0" showAll="0"/>
    <pivotField compact="0" showAll="0"/>
    <pivotField compact="0" showAll="0"/>
    <pivotField compact="0" showAll="0"/>
    <pivotField compact="0" showAll="0"/>
    <pivotField compact="0" numFmtId="6" showAll="0"/>
    <pivotField compact="0" numFmtId="178" showAll="0"/>
    <pivotField axis="axisRow" compact="0" multipleItemSelectionAllowed="1" showAll="0">
      <items count="4">
        <item x="0"/>
        <item x="1"/>
        <item h="1" x="2"/>
        <item t="default"/>
      </items>
    </pivotField>
    <pivotField compact="0" numFmtId="6" showAll="0"/>
    <pivotField compact="0" showAll="0"/>
    <pivotField compact="0" showAll="0"/>
    <pivotField compact="0" defaultSubtotal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Athlete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9" firstHeaderRow="0" firstDataRow="1" firstDataCol="1"/>
  <pivotFields count="12">
    <pivotField compact="0" showAll="0"/>
    <pivotField compact="0" showAll="0"/>
    <pivotField axis="axisRow" compact="0" showAll="0">
      <items count="6">
        <item x="2"/>
        <item x="4"/>
        <item x="0"/>
        <item x="3"/>
        <item x="1"/>
        <item t="default"/>
      </items>
    </pivotField>
    <pivotField compact="0" showAll="0"/>
    <pivotField compact="0" showAll="0"/>
    <pivotField dataField="1" compact="0" numFmtId="6" showAll="0"/>
    <pivotField compact="0" numFmtId="178" showAll="0"/>
    <pivotField compact="0" showAll="0"/>
    <pivotField dataField="1" compact="0" numFmtId="6" showAll="0"/>
    <pivotField compact="0" showAll="0"/>
    <pivotField compact="0" showAll="0"/>
    <pivotField compact="0" defaultSubtotal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 Salary" fld="5" baseField="0" baseItem="0"/>
    <dataField name="Sum of Sponsorship Value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:I11" firstHeaderRow="1" firstDataRow="1" firstDataCol="2"/>
  <pivotFields count="12">
    <pivotField dataField="1" compact="0" showAll="0"/>
    <pivotField compact="0" showAll="0"/>
    <pivotField compact="0" showAll="0"/>
    <pivotField compact="0" showAll="0"/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6" showAll="0"/>
    <pivotField compact="0" numFmtId="178" showAll="0"/>
    <pivotField compact="0" showAll="0"/>
    <pivotField compact="0" numFmtId="6" showAll="0"/>
    <pivotField compact="0" showAll="0"/>
    <pivotField compact="0" showAll="0"/>
    <pivotField axis="axisRow" compact="0" defaultSubtotal="0" showAll="0">
      <items count="10">
        <item x="0"/>
        <item sd="0" x="1"/>
        <item sd="0" x="2"/>
        <item sd="0" x="3"/>
        <item sd="0" x="4"/>
        <item sd="0" x="5"/>
        <item sd="0" x="6"/>
        <item sd="0" x="7"/>
        <item sd="0" x="8"/>
        <item x="9"/>
      </items>
    </pivotField>
  </pivotFields>
  <rowFields count="2">
    <field x="11"/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hlete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51" totalsRowShown="0">
  <autoFilter xmlns:etc="http://www.wps.cn/officeDocument/2017/etCustomData" ref="A1:K51" etc:filterBottomFollowUsedRange="0"/>
  <tableColumns count="11">
    <tableColumn id="1" name="Athlete ID" dataDxfId="0"/>
    <tableColumn id="2" name="Name" dataDxfId="1"/>
    <tableColumn id="3" name="Sport" dataDxfId="2"/>
    <tableColumn id="4" name="Level" dataDxfId="3"/>
    <tableColumn id="5" name="Date of Joining" dataDxfId="4"/>
    <tableColumn id="6" name="Monthly Salary" dataDxfId="5"/>
    <tableColumn id="7" name="Matches Won" dataDxfId="6"/>
    <tableColumn id="8" name="Status" dataDxfId="7"/>
    <tableColumn id="9" name="Sponsorship Value" dataDxfId="8">
      <calculatedColumnFormula>_xlfn.XLOOKUP(C2,Sponsorships!$A$2:$A$6,Sponsorships!$B$2:$B$6,"Not Found")</calculatedColumnFormula>
    </tableColumn>
    <tableColumn id="10" name="Performance Category" dataDxfId="9">
      <calculatedColumnFormula>IF(AND(H2="Active",G2&gt;10),"Star","Under Review")</calculatedColumnFormula>
    </tableColumn>
    <tableColumn id="11" name="Contract" dataDxfId="10">
      <calculatedColumnFormula>IF(AND(H2="Injured",G2&lt;5),"Review Contract","Keep Player")</calculatedColumnFormula>
    </tableColumn>
  </tableColumns>
  <tableStyleInfo name="TableStylePreset1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B6" totalsRowShown="0">
  <autoFilter xmlns:etc="http://www.wps.cn/officeDocument/2017/etCustomData" ref="A1:B6" etc:filterBottomFollowUsedRange="0"/>
  <tableColumns count="2">
    <tableColumn id="1" name="Sport" dataDxfId="14"/>
    <tableColumn id="2" name="SponsorShip Value" dataDxfId="1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51"/>
  <sheetViews>
    <sheetView tabSelected="1" workbookViewId="0">
      <pane ySplit="1" topLeftCell="A33" activePane="bottomLeft" state="frozen"/>
      <selection/>
      <selection pane="bottomLeft" activeCell="H38" sqref="H38"/>
    </sheetView>
  </sheetViews>
  <sheetFormatPr defaultColWidth="12.6285714285714" defaultRowHeight="15.75" customHeight="1"/>
  <cols>
    <col min="1" max="4" width="12.6285714285714" style="7"/>
    <col min="5" max="5" width="16" customWidth="1"/>
    <col min="6" max="6" width="15.7142857142857" style="8" customWidth="1"/>
    <col min="7" max="7" width="14.1428571428571" style="10" customWidth="1"/>
    <col min="8" max="8" width="12.6285714285714" style="7"/>
    <col min="9" max="9" width="19.5714285714286" style="11" customWidth="1"/>
    <col min="10" max="10" width="23.4285714285714" style="12" customWidth="1"/>
    <col min="11" max="11" width="15.4285714285714" style="13" customWidth="1"/>
  </cols>
  <sheetData>
    <row r="1" s="9" customFormat="1" customHeight="1" spans="1:1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4" t="s">
        <v>7</v>
      </c>
      <c r="I1" s="19" t="s">
        <v>8</v>
      </c>
      <c r="J1" s="14" t="s">
        <v>9</v>
      </c>
      <c r="K1" s="20" t="s">
        <v>10</v>
      </c>
    </row>
    <row r="2" customHeight="1" spans="1:11">
      <c r="A2" s="12" t="s">
        <v>11</v>
      </c>
      <c r="B2" s="12" t="s">
        <v>12</v>
      </c>
      <c r="C2" s="12" t="s">
        <v>13</v>
      </c>
      <c r="D2" s="12" t="s">
        <v>14</v>
      </c>
      <c r="E2" s="16">
        <v>43477</v>
      </c>
      <c r="F2" s="11">
        <v>120000</v>
      </c>
      <c r="G2" s="17">
        <v>18</v>
      </c>
      <c r="H2" s="12" t="s">
        <v>15</v>
      </c>
      <c r="I2" s="11">
        <f>_xlfn.XLOOKUP(C2,Sponsorships!$A$2:$A$6,Sponsorships!$B$2:$B$6,"Not Found")</f>
        <v>100000</v>
      </c>
      <c r="J2" s="12" t="str">
        <f t="shared" ref="J2:J33" si="0">IF(AND(H2="Active",G2&gt;10),"Star","Under Review")</f>
        <v>Star</v>
      </c>
      <c r="K2" s="21" t="str">
        <f t="shared" ref="K2:K33" si="1">IF(AND(H2="Injured",G2&lt;5),"Review Contract","Keep Player")</f>
        <v>Keep Player</v>
      </c>
    </row>
    <row r="3" customHeight="1" spans="1:11">
      <c r="A3" s="12" t="s">
        <v>16</v>
      </c>
      <c r="B3" s="12" t="s">
        <v>17</v>
      </c>
      <c r="C3" s="12" t="s">
        <v>18</v>
      </c>
      <c r="D3" s="12" t="s">
        <v>14</v>
      </c>
      <c r="E3" s="16">
        <v>43895</v>
      </c>
      <c r="F3" s="11">
        <v>95000</v>
      </c>
      <c r="G3" s="17">
        <v>25</v>
      </c>
      <c r="H3" s="12" t="s">
        <v>15</v>
      </c>
      <c r="I3" s="11">
        <f>_xlfn.XLOOKUP(C3,Sponsorships!$A$2:$A$6,Sponsorships!$B$2:$B$6,"Not Found")</f>
        <v>70000</v>
      </c>
      <c r="J3" s="12" t="str">
        <f t="shared" si="0"/>
        <v>Star</v>
      </c>
      <c r="K3" s="21" t="str">
        <f t="shared" si="1"/>
        <v>Keep Player</v>
      </c>
    </row>
    <row r="4" customHeight="1" spans="1:11">
      <c r="A4" s="12" t="s">
        <v>19</v>
      </c>
      <c r="B4" s="12" t="s">
        <v>20</v>
      </c>
      <c r="C4" s="12" t="s">
        <v>21</v>
      </c>
      <c r="D4" s="12" t="s">
        <v>22</v>
      </c>
      <c r="E4" s="16">
        <v>44430</v>
      </c>
      <c r="F4" s="11">
        <v>45000</v>
      </c>
      <c r="G4" s="17">
        <v>14</v>
      </c>
      <c r="H4" s="12" t="s">
        <v>15</v>
      </c>
      <c r="I4" s="11">
        <f>_xlfn.XLOOKUP(C4,Sponsorships!$A$2:$A$6,Sponsorships!$B$2:$B$6,"Not Found")</f>
        <v>85000</v>
      </c>
      <c r="J4" s="12" t="str">
        <f t="shared" si="0"/>
        <v>Star</v>
      </c>
      <c r="K4" s="21" t="str">
        <f t="shared" si="1"/>
        <v>Keep Player</v>
      </c>
    </row>
    <row r="5" customHeight="1" spans="1:11">
      <c r="A5" s="12" t="s">
        <v>23</v>
      </c>
      <c r="B5" s="12" t="s">
        <v>24</v>
      </c>
      <c r="C5" s="12" t="s">
        <v>25</v>
      </c>
      <c r="D5" s="12" t="s">
        <v>26</v>
      </c>
      <c r="E5" s="16">
        <v>44967</v>
      </c>
      <c r="F5" s="11">
        <v>8500</v>
      </c>
      <c r="G5" s="17">
        <v>12</v>
      </c>
      <c r="H5" s="12" t="s">
        <v>15</v>
      </c>
      <c r="I5" s="11">
        <f>_xlfn.XLOOKUP(C5,Sponsorships!$A$2:$A$6,Sponsorships!$B$2:$B$6,"Not Found")</f>
        <v>15000</v>
      </c>
      <c r="J5" s="12" t="str">
        <f t="shared" si="0"/>
        <v>Star</v>
      </c>
      <c r="K5" s="21" t="str">
        <f t="shared" si="1"/>
        <v>Keep Player</v>
      </c>
    </row>
    <row r="6" customHeight="1" spans="1:11">
      <c r="A6" s="12" t="s">
        <v>27</v>
      </c>
      <c r="B6" s="12" t="s">
        <v>28</v>
      </c>
      <c r="C6" s="12" t="s">
        <v>29</v>
      </c>
      <c r="D6" s="12" t="s">
        <v>14</v>
      </c>
      <c r="E6" s="18">
        <v>44150</v>
      </c>
      <c r="F6" s="11">
        <v>110000</v>
      </c>
      <c r="G6" s="17">
        <v>4</v>
      </c>
      <c r="H6" s="12" t="s">
        <v>30</v>
      </c>
      <c r="I6" s="11">
        <f>_xlfn.XLOOKUP(C6,Sponsorships!$A$2:$A$6,Sponsorships!$B$2:$B$6,"Not Found")</f>
        <v>90000</v>
      </c>
      <c r="J6" s="12" t="str">
        <f t="shared" si="0"/>
        <v>Under Review</v>
      </c>
      <c r="K6" s="21" t="str">
        <f>IF(AND(H6="Injured",G6&lt;5),"Review Contract","Keep Player")</f>
        <v>Review Contract</v>
      </c>
    </row>
    <row r="7" customHeight="1" spans="1:11">
      <c r="A7" s="12" t="s">
        <v>31</v>
      </c>
      <c r="B7" s="12" t="s">
        <v>32</v>
      </c>
      <c r="C7" s="12" t="s">
        <v>13</v>
      </c>
      <c r="D7" s="12" t="s">
        <v>22</v>
      </c>
      <c r="E7" s="16">
        <v>44772</v>
      </c>
      <c r="F7" s="11">
        <v>35000</v>
      </c>
      <c r="G7" s="17">
        <v>20</v>
      </c>
      <c r="H7" s="12" t="s">
        <v>15</v>
      </c>
      <c r="I7" s="11">
        <f>_xlfn.XLOOKUP(C7,Sponsorships!$A$2:$A$6,Sponsorships!$B$2:$B$6,"Not Found")</f>
        <v>100000</v>
      </c>
      <c r="J7" s="12" t="str">
        <f t="shared" si="0"/>
        <v>Star</v>
      </c>
      <c r="K7" s="21" t="str">
        <f t="shared" si="1"/>
        <v>Keep Player</v>
      </c>
    </row>
    <row r="8" customHeight="1" spans="1:11">
      <c r="A8" s="12" t="s">
        <v>33</v>
      </c>
      <c r="B8" s="12" t="s">
        <v>34</v>
      </c>
      <c r="C8" s="12" t="s">
        <v>18</v>
      </c>
      <c r="D8" s="12" t="s">
        <v>14</v>
      </c>
      <c r="E8" s="16">
        <v>43238</v>
      </c>
      <c r="F8" s="11">
        <v>130000</v>
      </c>
      <c r="G8" s="17">
        <v>2</v>
      </c>
      <c r="H8" s="12" t="s">
        <v>30</v>
      </c>
      <c r="I8" s="11">
        <f>_xlfn.XLOOKUP(C8,Sponsorships!$A$2:$A$6,Sponsorships!$B$2:$B$6,"Not Found")</f>
        <v>70000</v>
      </c>
      <c r="J8" s="12" t="str">
        <f t="shared" si="0"/>
        <v>Under Review</v>
      </c>
      <c r="K8" s="21" t="str">
        <f t="shared" si="1"/>
        <v>Review Contract</v>
      </c>
    </row>
    <row r="9" customHeight="1" spans="1:11">
      <c r="A9" s="12" t="s">
        <v>35</v>
      </c>
      <c r="B9" s="12" t="s">
        <v>36</v>
      </c>
      <c r="C9" s="12" t="s">
        <v>21</v>
      </c>
      <c r="D9" s="12" t="s">
        <v>26</v>
      </c>
      <c r="E9" s="16">
        <v>45540</v>
      </c>
      <c r="F9" s="11">
        <v>12000</v>
      </c>
      <c r="G9" s="17">
        <v>8</v>
      </c>
      <c r="H9" s="12" t="s">
        <v>15</v>
      </c>
      <c r="I9" s="11">
        <f>_xlfn.XLOOKUP(C9,Sponsorships!$A$2:$A$6,Sponsorships!$B$2:$B$6,"Not Found")</f>
        <v>85000</v>
      </c>
      <c r="J9" s="12" t="str">
        <f t="shared" si="0"/>
        <v>Under Review</v>
      </c>
      <c r="K9" s="21" t="str">
        <f t="shared" si="1"/>
        <v>Keep Player</v>
      </c>
    </row>
    <row r="10" customHeight="1" spans="1:11">
      <c r="A10" s="12" t="s">
        <v>37</v>
      </c>
      <c r="B10" s="12" t="s">
        <v>38</v>
      </c>
      <c r="C10" s="12" t="s">
        <v>29</v>
      </c>
      <c r="D10" s="12" t="s">
        <v>26</v>
      </c>
      <c r="E10" s="18">
        <v>45210</v>
      </c>
      <c r="F10" s="11">
        <v>5000</v>
      </c>
      <c r="G10" s="17">
        <v>35</v>
      </c>
      <c r="H10" s="12" t="s">
        <v>15</v>
      </c>
      <c r="I10" s="11">
        <f>_xlfn.XLOOKUP(C10,Sponsorships!$A$2:$A$6,Sponsorships!$B$2:$B$6,"Not Found")</f>
        <v>90000</v>
      </c>
      <c r="J10" s="12" t="str">
        <f t="shared" si="0"/>
        <v>Star</v>
      </c>
      <c r="K10" s="21" t="str">
        <f t="shared" si="1"/>
        <v>Keep Player</v>
      </c>
    </row>
    <row r="11" customHeight="1" spans="1:11">
      <c r="A11" s="12" t="s">
        <v>39</v>
      </c>
      <c r="B11" s="12" t="s">
        <v>40</v>
      </c>
      <c r="C11" s="12" t="s">
        <v>13</v>
      </c>
      <c r="D11" s="12" t="s">
        <v>14</v>
      </c>
      <c r="E11" s="16">
        <v>43516</v>
      </c>
      <c r="F11" s="11">
        <v>140000</v>
      </c>
      <c r="G11" s="17">
        <v>3</v>
      </c>
      <c r="H11" s="12" t="s">
        <v>41</v>
      </c>
      <c r="I11" s="11">
        <f>_xlfn.XLOOKUP(C11,Sponsorships!$A$2:$A$6,Sponsorships!$B$2:$B$6,"Not Found")</f>
        <v>100000</v>
      </c>
      <c r="J11" s="12" t="str">
        <f t="shared" si="0"/>
        <v>Under Review</v>
      </c>
      <c r="K11" s="21" t="str">
        <f t="shared" si="1"/>
        <v>Keep Player</v>
      </c>
    </row>
    <row r="12" customHeight="1" spans="1:11">
      <c r="A12" s="12" t="s">
        <v>42</v>
      </c>
      <c r="B12" s="12" t="s">
        <v>43</v>
      </c>
      <c r="C12" s="12" t="s">
        <v>25</v>
      </c>
      <c r="D12" s="12" t="s">
        <v>22</v>
      </c>
      <c r="E12" s="16">
        <v>44361</v>
      </c>
      <c r="F12" s="11">
        <v>28000</v>
      </c>
      <c r="G12" s="17">
        <v>15</v>
      </c>
      <c r="H12" s="12" t="s">
        <v>15</v>
      </c>
      <c r="I12" s="11">
        <f>_xlfn.XLOOKUP(C12,Sponsorships!$A$2:$A$6,Sponsorships!$B$2:$B$6,"Not Found")</f>
        <v>15000</v>
      </c>
      <c r="J12" s="12" t="str">
        <f t="shared" si="0"/>
        <v>Star</v>
      </c>
      <c r="K12" s="21" t="str">
        <f t="shared" si="1"/>
        <v>Keep Player</v>
      </c>
    </row>
    <row r="13" customHeight="1" spans="1:11">
      <c r="A13" s="12" t="s">
        <v>44</v>
      </c>
      <c r="B13" s="12" t="s">
        <v>45</v>
      </c>
      <c r="C13" s="12" t="s">
        <v>29</v>
      </c>
      <c r="D13" s="12" t="s">
        <v>22</v>
      </c>
      <c r="E13" s="16">
        <v>44904</v>
      </c>
      <c r="F13" s="11">
        <v>42000</v>
      </c>
      <c r="G13" s="17">
        <v>19</v>
      </c>
      <c r="H13" s="12" t="s">
        <v>15</v>
      </c>
      <c r="I13" s="11">
        <f>_xlfn.XLOOKUP(C13,Sponsorships!$A$2:$A$6,Sponsorships!$B$2:$B$6,"Not Found")</f>
        <v>90000</v>
      </c>
      <c r="J13" s="12" t="str">
        <f t="shared" si="0"/>
        <v>Star</v>
      </c>
      <c r="K13" s="21" t="str">
        <f t="shared" si="1"/>
        <v>Keep Player</v>
      </c>
    </row>
    <row r="14" customHeight="1" spans="1:11">
      <c r="A14" s="12" t="s">
        <v>46</v>
      </c>
      <c r="B14" s="12" t="s">
        <v>47</v>
      </c>
      <c r="C14" s="12" t="s">
        <v>21</v>
      </c>
      <c r="D14" s="12" t="s">
        <v>14</v>
      </c>
      <c r="E14" s="16">
        <v>43855</v>
      </c>
      <c r="F14" s="11">
        <v>115000</v>
      </c>
      <c r="G14" s="17">
        <v>42</v>
      </c>
      <c r="H14" s="12" t="s">
        <v>15</v>
      </c>
      <c r="I14" s="11">
        <f>_xlfn.XLOOKUP(C14,Sponsorships!$A$2:$A$6,Sponsorships!$B$2:$B$6,"Not Found")</f>
        <v>85000</v>
      </c>
      <c r="J14" s="12" t="str">
        <f t="shared" si="0"/>
        <v>Star</v>
      </c>
      <c r="K14" s="21" t="str">
        <f t="shared" si="1"/>
        <v>Keep Player</v>
      </c>
    </row>
    <row r="15" customHeight="1" spans="1:11">
      <c r="A15" s="12" t="s">
        <v>48</v>
      </c>
      <c r="B15" s="12" t="s">
        <v>49</v>
      </c>
      <c r="C15" s="12" t="s">
        <v>18</v>
      </c>
      <c r="D15" s="12" t="s">
        <v>26</v>
      </c>
      <c r="E15" s="16">
        <v>45399</v>
      </c>
      <c r="F15" s="11">
        <v>9000</v>
      </c>
      <c r="G15" s="17">
        <v>11</v>
      </c>
      <c r="H15" s="12" t="s">
        <v>15</v>
      </c>
      <c r="I15" s="11">
        <f>_xlfn.XLOOKUP(C15,Sponsorships!$A$2:$A$6,Sponsorships!$B$2:$B$6,"Not Found")</f>
        <v>70000</v>
      </c>
      <c r="J15" s="12" t="str">
        <f t="shared" si="0"/>
        <v>Star</v>
      </c>
      <c r="K15" s="21" t="str">
        <f t="shared" si="1"/>
        <v>Keep Player</v>
      </c>
    </row>
    <row r="16" customHeight="1" spans="1:11">
      <c r="A16" s="12" t="s">
        <v>50</v>
      </c>
      <c r="B16" s="12" t="s">
        <v>51</v>
      </c>
      <c r="C16" s="12" t="s">
        <v>13</v>
      </c>
      <c r="D16" s="12" t="s">
        <v>22</v>
      </c>
      <c r="E16" s="16">
        <v>44503</v>
      </c>
      <c r="F16" s="11">
        <v>55000</v>
      </c>
      <c r="G16" s="17">
        <v>0</v>
      </c>
      <c r="H16" s="12" t="s">
        <v>30</v>
      </c>
      <c r="I16" s="11">
        <f>_xlfn.XLOOKUP(C16,Sponsorships!$A$2:$A$6,Sponsorships!$B$2:$B$6,"Not Found")</f>
        <v>100000</v>
      </c>
      <c r="J16" s="12" t="str">
        <f t="shared" si="0"/>
        <v>Under Review</v>
      </c>
      <c r="K16" s="21" t="str">
        <f t="shared" si="1"/>
        <v>Review Contract</v>
      </c>
    </row>
    <row r="17" customHeight="1" spans="1:11">
      <c r="A17" s="12" t="s">
        <v>52</v>
      </c>
      <c r="B17" s="12" t="s">
        <v>53</v>
      </c>
      <c r="C17" s="12" t="s">
        <v>29</v>
      </c>
      <c r="D17" s="12" t="s">
        <v>14</v>
      </c>
      <c r="E17" s="16">
        <v>43696</v>
      </c>
      <c r="F17" s="11">
        <v>125000</v>
      </c>
      <c r="G17" s="17">
        <v>38</v>
      </c>
      <c r="H17" s="12" t="s">
        <v>15</v>
      </c>
      <c r="I17" s="11">
        <f>_xlfn.XLOOKUP(C17,Sponsorships!$A$2:$A$6,Sponsorships!$B$2:$B$6,"Not Found")</f>
        <v>90000</v>
      </c>
      <c r="J17" s="12" t="str">
        <f t="shared" si="0"/>
        <v>Star</v>
      </c>
      <c r="K17" s="21" t="str">
        <f t="shared" si="1"/>
        <v>Keep Player</v>
      </c>
    </row>
    <row r="18" customHeight="1" spans="1:11">
      <c r="A18" s="12" t="s">
        <v>54</v>
      </c>
      <c r="B18" s="12" t="s">
        <v>55</v>
      </c>
      <c r="C18" s="12" t="s">
        <v>21</v>
      </c>
      <c r="D18" s="12" t="s">
        <v>22</v>
      </c>
      <c r="E18" s="16">
        <v>44620</v>
      </c>
      <c r="F18" s="11">
        <v>48000</v>
      </c>
      <c r="G18" s="17">
        <v>16</v>
      </c>
      <c r="H18" s="12" t="s">
        <v>15</v>
      </c>
      <c r="I18" s="11">
        <f>_xlfn.XLOOKUP(C18,Sponsorships!$A$2:$A$6,Sponsorships!$B$2:$B$6,"Not Found")</f>
        <v>85000</v>
      </c>
      <c r="J18" s="12" t="str">
        <f t="shared" si="0"/>
        <v>Star</v>
      </c>
      <c r="K18" s="21" t="str">
        <f t="shared" si="1"/>
        <v>Keep Player</v>
      </c>
    </row>
    <row r="19" customHeight="1" spans="1:11">
      <c r="A19" s="12" t="s">
        <v>56</v>
      </c>
      <c r="B19" s="12" t="s">
        <v>57</v>
      </c>
      <c r="C19" s="12" t="s">
        <v>25</v>
      </c>
      <c r="D19" s="12" t="s">
        <v>14</v>
      </c>
      <c r="E19" s="16">
        <v>43288</v>
      </c>
      <c r="F19" s="11">
        <v>90000</v>
      </c>
      <c r="G19" s="17">
        <v>22</v>
      </c>
      <c r="H19" s="12" t="s">
        <v>15</v>
      </c>
      <c r="I19" s="11">
        <f>_xlfn.XLOOKUP(C19,Sponsorships!$A$2:$A$6,Sponsorships!$B$2:$B$6,"Not Found")</f>
        <v>15000</v>
      </c>
      <c r="J19" s="12" t="str">
        <f t="shared" si="0"/>
        <v>Star</v>
      </c>
      <c r="K19" s="21" t="str">
        <f t="shared" si="1"/>
        <v>Keep Player</v>
      </c>
    </row>
    <row r="20" customHeight="1" spans="1:11">
      <c r="A20" s="12" t="s">
        <v>58</v>
      </c>
      <c r="B20" s="12" t="s">
        <v>59</v>
      </c>
      <c r="C20" s="12" t="s">
        <v>18</v>
      </c>
      <c r="D20" s="12" t="s">
        <v>22</v>
      </c>
      <c r="E20" s="16">
        <v>44328</v>
      </c>
      <c r="F20" s="11">
        <v>50000</v>
      </c>
      <c r="G20" s="17">
        <v>18</v>
      </c>
      <c r="H20" s="12" t="s">
        <v>15</v>
      </c>
      <c r="I20" s="11">
        <f>_xlfn.XLOOKUP(C20,Sponsorships!$A$2:$A$6,Sponsorships!$B$2:$B$6,"Not Found")</f>
        <v>70000</v>
      </c>
      <c r="J20" s="12" t="str">
        <f t="shared" si="0"/>
        <v>Star</v>
      </c>
      <c r="K20" s="21" t="str">
        <f t="shared" si="1"/>
        <v>Keep Player</v>
      </c>
    </row>
    <row r="21" customHeight="1" spans="1:11">
      <c r="A21" s="12" t="s">
        <v>60</v>
      </c>
      <c r="B21" s="12" t="s">
        <v>61</v>
      </c>
      <c r="C21" s="12" t="s">
        <v>13</v>
      </c>
      <c r="D21" s="12" t="s">
        <v>26</v>
      </c>
      <c r="E21" s="16">
        <v>45170</v>
      </c>
      <c r="F21" s="11">
        <v>15000</v>
      </c>
      <c r="G21" s="17">
        <v>10</v>
      </c>
      <c r="H21" s="12" t="s">
        <v>15</v>
      </c>
      <c r="I21" s="11">
        <f>_xlfn.XLOOKUP(C21,Sponsorships!$A$2:$A$6,Sponsorships!$B$2:$B$6,"Not Found")</f>
        <v>100000</v>
      </c>
      <c r="J21" s="12" t="str">
        <f t="shared" si="0"/>
        <v>Under Review</v>
      </c>
      <c r="K21" s="21" t="str">
        <f t="shared" si="1"/>
        <v>Keep Player</v>
      </c>
    </row>
    <row r="22" customHeight="1" spans="1:11">
      <c r="A22" s="12" t="s">
        <v>62</v>
      </c>
      <c r="B22" s="12" t="s">
        <v>63</v>
      </c>
      <c r="C22" s="12" t="s">
        <v>29</v>
      </c>
      <c r="D22" s="12" t="s">
        <v>22</v>
      </c>
      <c r="E22" s="16">
        <v>44582</v>
      </c>
      <c r="F22" s="11">
        <v>38000</v>
      </c>
      <c r="G22" s="17">
        <v>21</v>
      </c>
      <c r="H22" s="12" t="s">
        <v>15</v>
      </c>
      <c r="I22" s="11">
        <f>_xlfn.XLOOKUP(C22,Sponsorships!$A$2:$A$6,Sponsorships!$B$2:$B$6,"Not Found")</f>
        <v>90000</v>
      </c>
      <c r="J22" s="12" t="str">
        <f t="shared" si="0"/>
        <v>Star</v>
      </c>
      <c r="K22" s="21" t="str">
        <f t="shared" si="1"/>
        <v>Keep Player</v>
      </c>
    </row>
    <row r="23" customHeight="1" spans="1:11">
      <c r="A23" s="12" t="s">
        <v>64</v>
      </c>
      <c r="B23" s="12" t="s">
        <v>65</v>
      </c>
      <c r="C23" s="12" t="s">
        <v>21</v>
      </c>
      <c r="D23" s="12" t="s">
        <v>14</v>
      </c>
      <c r="E23" s="18">
        <v>43754</v>
      </c>
      <c r="F23" s="11">
        <v>135000</v>
      </c>
      <c r="G23" s="17">
        <v>5</v>
      </c>
      <c r="H23" s="12" t="s">
        <v>30</v>
      </c>
      <c r="I23" s="11">
        <f>_xlfn.XLOOKUP(C23,Sponsorships!$A$2:$A$6,Sponsorships!$B$2:$B$6,"Not Found")</f>
        <v>85000</v>
      </c>
      <c r="J23" s="12" t="str">
        <f t="shared" si="0"/>
        <v>Under Review</v>
      </c>
      <c r="K23" s="21" t="str">
        <f t="shared" si="1"/>
        <v>Keep Player</v>
      </c>
    </row>
    <row r="24" customHeight="1" spans="1:11">
      <c r="A24" s="12" t="s">
        <v>66</v>
      </c>
      <c r="B24" s="12" t="s">
        <v>67</v>
      </c>
      <c r="C24" s="12" t="s">
        <v>13</v>
      </c>
      <c r="D24" s="12" t="s">
        <v>26</v>
      </c>
      <c r="E24" s="16">
        <v>45724</v>
      </c>
      <c r="F24" s="11">
        <v>10000</v>
      </c>
      <c r="G24" s="17">
        <v>2</v>
      </c>
      <c r="H24" s="12" t="s">
        <v>15</v>
      </c>
      <c r="I24" s="11">
        <f>_xlfn.XLOOKUP(C24,Sponsorships!$A$2:$A$6,Sponsorships!$B$2:$B$6,"Not Found")</f>
        <v>100000</v>
      </c>
      <c r="J24" s="12" t="str">
        <f t="shared" si="0"/>
        <v>Under Review</v>
      </c>
      <c r="K24" s="21" t="str">
        <f t="shared" si="1"/>
        <v>Keep Player</v>
      </c>
    </row>
    <row r="25" customHeight="1" spans="1:11">
      <c r="A25" s="12" t="s">
        <v>68</v>
      </c>
      <c r="B25" s="12" t="s">
        <v>69</v>
      </c>
      <c r="C25" s="12" t="s">
        <v>25</v>
      </c>
      <c r="D25" s="12" t="s">
        <v>22</v>
      </c>
      <c r="E25" s="18">
        <v>44529</v>
      </c>
      <c r="F25" s="11">
        <v>32000</v>
      </c>
      <c r="G25" s="17">
        <v>14</v>
      </c>
      <c r="H25" s="12" t="s">
        <v>15</v>
      </c>
      <c r="I25" s="11">
        <f>_xlfn.XLOOKUP(C25,Sponsorships!$A$2:$A$6,Sponsorships!$B$2:$B$6,"Not Found")</f>
        <v>15000</v>
      </c>
      <c r="J25" s="12" t="str">
        <f t="shared" si="0"/>
        <v>Star</v>
      </c>
      <c r="K25" s="21" t="str">
        <f t="shared" si="1"/>
        <v>Keep Player</v>
      </c>
    </row>
    <row r="26" customHeight="1" spans="1:11">
      <c r="A26" s="12" t="s">
        <v>70</v>
      </c>
      <c r="B26" s="12" t="s">
        <v>71</v>
      </c>
      <c r="C26" s="12" t="s">
        <v>18</v>
      </c>
      <c r="D26" s="12" t="s">
        <v>14</v>
      </c>
      <c r="E26" s="16">
        <v>43986</v>
      </c>
      <c r="F26" s="11">
        <v>105000</v>
      </c>
      <c r="G26" s="17">
        <v>28</v>
      </c>
      <c r="H26" s="12" t="s">
        <v>15</v>
      </c>
      <c r="I26" s="11">
        <f>_xlfn.XLOOKUP(C26,Sponsorships!$A$2:$A$6,Sponsorships!$B$2:$B$6,"Not Found")</f>
        <v>70000</v>
      </c>
      <c r="J26" s="12" t="str">
        <f t="shared" si="0"/>
        <v>Star</v>
      </c>
      <c r="K26" s="21" t="str">
        <f t="shared" si="1"/>
        <v>Keep Player</v>
      </c>
    </row>
    <row r="27" customHeight="1" spans="1:11">
      <c r="A27" s="12" t="s">
        <v>72</v>
      </c>
      <c r="B27" s="12" t="s">
        <v>73</v>
      </c>
      <c r="C27" s="12" t="s">
        <v>29</v>
      </c>
      <c r="D27" s="12" t="s">
        <v>26</v>
      </c>
      <c r="E27" s="16">
        <v>45337</v>
      </c>
      <c r="F27" s="11">
        <v>6000</v>
      </c>
      <c r="G27" s="17">
        <v>24</v>
      </c>
      <c r="H27" s="12" t="s">
        <v>15</v>
      </c>
      <c r="I27" s="11">
        <f>_xlfn.XLOOKUP(C27,Sponsorships!$A$2:$A$6,Sponsorships!$B$2:$B$6,"Not Found")</f>
        <v>90000</v>
      </c>
      <c r="J27" s="12" t="str">
        <f t="shared" si="0"/>
        <v>Star</v>
      </c>
      <c r="K27" s="21" t="str">
        <f t="shared" si="1"/>
        <v>Keep Player</v>
      </c>
    </row>
    <row r="28" customHeight="1" spans="1:11">
      <c r="A28" s="12" t="s">
        <v>74</v>
      </c>
      <c r="B28" s="12" t="s">
        <v>75</v>
      </c>
      <c r="C28" s="12" t="s">
        <v>21</v>
      </c>
      <c r="D28" s="12" t="s">
        <v>22</v>
      </c>
      <c r="E28" s="16">
        <v>44753</v>
      </c>
      <c r="F28" s="11">
        <v>40000</v>
      </c>
      <c r="G28" s="17">
        <v>12</v>
      </c>
      <c r="H28" s="12" t="s">
        <v>15</v>
      </c>
      <c r="I28" s="11">
        <f>_xlfn.XLOOKUP(C28,Sponsorships!$A$2:$A$6,Sponsorships!$B$2:$B$6,"Not Found")</f>
        <v>85000</v>
      </c>
      <c r="J28" s="12" t="str">
        <f t="shared" si="0"/>
        <v>Star</v>
      </c>
      <c r="K28" s="21" t="str">
        <f t="shared" si="1"/>
        <v>Keep Player</v>
      </c>
    </row>
    <row r="29" customHeight="1" spans="1:11">
      <c r="A29" s="12" t="s">
        <v>76</v>
      </c>
      <c r="B29" s="12" t="s">
        <v>77</v>
      </c>
      <c r="C29" s="12" t="s">
        <v>13</v>
      </c>
      <c r="D29" s="12" t="s">
        <v>14</v>
      </c>
      <c r="E29" s="16">
        <v>43335</v>
      </c>
      <c r="F29" s="11">
        <v>145000</v>
      </c>
      <c r="G29" s="17">
        <v>0</v>
      </c>
      <c r="H29" s="12" t="s">
        <v>41</v>
      </c>
      <c r="I29" s="11">
        <f>_xlfn.XLOOKUP(C29,Sponsorships!$A$2:$A$6,Sponsorships!$B$2:$B$6,"Not Found")</f>
        <v>100000</v>
      </c>
      <c r="J29" s="12" t="str">
        <f t="shared" si="0"/>
        <v>Under Review</v>
      </c>
      <c r="K29" s="21" t="str">
        <f t="shared" si="1"/>
        <v>Keep Player</v>
      </c>
    </row>
    <row r="30" customHeight="1" spans="1:11">
      <c r="A30" s="12" t="s">
        <v>78</v>
      </c>
      <c r="B30" s="12" t="s">
        <v>79</v>
      </c>
      <c r="C30" s="12" t="s">
        <v>25</v>
      </c>
      <c r="D30" s="12" t="s">
        <v>26</v>
      </c>
      <c r="E30" s="16">
        <v>45205</v>
      </c>
      <c r="F30" s="11">
        <v>7500</v>
      </c>
      <c r="G30" s="17">
        <v>15</v>
      </c>
      <c r="H30" s="12" t="s">
        <v>15</v>
      </c>
      <c r="I30" s="11">
        <f>_xlfn.XLOOKUP(C30,Sponsorships!$A$2:$A$6,Sponsorships!$B$2:$B$6,"Not Found")</f>
        <v>15000</v>
      </c>
      <c r="J30" s="12" t="str">
        <f t="shared" si="0"/>
        <v>Star</v>
      </c>
      <c r="K30" s="21" t="str">
        <f t="shared" si="1"/>
        <v>Keep Player</v>
      </c>
    </row>
    <row r="31" customHeight="1" spans="1:11">
      <c r="A31" s="12" t="s">
        <v>80</v>
      </c>
      <c r="B31" s="12" t="s">
        <v>81</v>
      </c>
      <c r="C31" s="12" t="s">
        <v>18</v>
      </c>
      <c r="D31" s="12" t="s">
        <v>22</v>
      </c>
      <c r="E31" s="18">
        <v>44549</v>
      </c>
      <c r="F31" s="11">
        <v>47000</v>
      </c>
      <c r="G31" s="17">
        <v>20</v>
      </c>
      <c r="H31" s="12" t="s">
        <v>15</v>
      </c>
      <c r="I31" s="11">
        <f>_xlfn.XLOOKUP(C31,Sponsorships!$A$2:$A$6,Sponsorships!$B$2:$B$6,"Not Found")</f>
        <v>70000</v>
      </c>
      <c r="J31" s="12" t="str">
        <f t="shared" si="0"/>
        <v>Star</v>
      </c>
      <c r="K31" s="21" t="str">
        <f t="shared" si="1"/>
        <v>Keep Player</v>
      </c>
    </row>
    <row r="32" customHeight="1" spans="1:11">
      <c r="A32" s="12" t="s">
        <v>82</v>
      </c>
      <c r="B32" s="12" t="s">
        <v>83</v>
      </c>
      <c r="C32" s="12" t="s">
        <v>29</v>
      </c>
      <c r="D32" s="12" t="s">
        <v>14</v>
      </c>
      <c r="E32" s="16">
        <v>43587</v>
      </c>
      <c r="F32" s="11">
        <v>118000</v>
      </c>
      <c r="G32" s="17">
        <v>40</v>
      </c>
      <c r="H32" s="12" t="s">
        <v>15</v>
      </c>
      <c r="I32" s="11">
        <f>_xlfn.XLOOKUP(C32,Sponsorships!$A$2:$A$6,Sponsorships!$B$2:$B$6,"Not Found")</f>
        <v>90000</v>
      </c>
      <c r="J32" s="12" t="str">
        <f t="shared" si="0"/>
        <v>Star</v>
      </c>
      <c r="K32" s="21" t="str">
        <f t="shared" si="1"/>
        <v>Keep Player</v>
      </c>
    </row>
    <row r="33" customHeight="1" spans="1:11">
      <c r="A33" s="12" t="s">
        <v>84</v>
      </c>
      <c r="B33" s="12" t="s">
        <v>85</v>
      </c>
      <c r="C33" s="12" t="s">
        <v>21</v>
      </c>
      <c r="D33" s="12" t="s">
        <v>26</v>
      </c>
      <c r="E33" s="16">
        <v>45378</v>
      </c>
      <c r="F33" s="11">
        <v>11000</v>
      </c>
      <c r="G33" s="17">
        <v>9</v>
      </c>
      <c r="H33" s="12" t="s">
        <v>15</v>
      </c>
      <c r="I33" s="11">
        <f>_xlfn.XLOOKUP(C33,Sponsorships!$A$2:$A$6,Sponsorships!$B$2:$B$6,"Not Found")</f>
        <v>85000</v>
      </c>
      <c r="J33" s="12" t="str">
        <f t="shared" si="0"/>
        <v>Under Review</v>
      </c>
      <c r="K33" s="21" t="str">
        <f t="shared" si="1"/>
        <v>Keep Player</v>
      </c>
    </row>
    <row r="34" customHeight="1" spans="1:11">
      <c r="A34" s="12" t="s">
        <v>86</v>
      </c>
      <c r="B34" s="12" t="s">
        <v>87</v>
      </c>
      <c r="C34" s="12" t="s">
        <v>13</v>
      </c>
      <c r="D34" s="12" t="s">
        <v>22</v>
      </c>
      <c r="E34" s="16">
        <v>44575</v>
      </c>
      <c r="F34" s="11">
        <v>60000</v>
      </c>
      <c r="G34" s="17">
        <v>1</v>
      </c>
      <c r="H34" s="12" t="s">
        <v>30</v>
      </c>
      <c r="I34" s="11">
        <f>_xlfn.XLOOKUP(C34,Sponsorships!$A$2:$A$6,Sponsorships!$B$2:$B$6,"Not Found")</f>
        <v>100000</v>
      </c>
      <c r="J34" s="12" t="str">
        <f t="shared" ref="J34:J51" si="2">IF(AND(H34="Active",G34&gt;10),"Star","Under Review")</f>
        <v>Under Review</v>
      </c>
      <c r="K34" s="21" t="str">
        <f t="shared" ref="K34:K51" si="3">IF(AND(H34="Injured",G34&lt;5),"Review Contract","Keep Player")</f>
        <v>Review Contract</v>
      </c>
    </row>
    <row r="35" customHeight="1" spans="1:11">
      <c r="A35" s="12" t="s">
        <v>88</v>
      </c>
      <c r="B35" s="12" t="s">
        <v>89</v>
      </c>
      <c r="C35" s="12" t="s">
        <v>25</v>
      </c>
      <c r="D35" s="12" t="s">
        <v>14</v>
      </c>
      <c r="E35" s="16">
        <v>44083</v>
      </c>
      <c r="F35" s="11">
        <v>95000</v>
      </c>
      <c r="G35" s="17">
        <v>26</v>
      </c>
      <c r="H35" s="12" t="s">
        <v>15</v>
      </c>
      <c r="I35" s="11">
        <f>_xlfn.XLOOKUP(C35,Sponsorships!$A$2:$A$6,Sponsorships!$B$2:$B$6,"Not Found")</f>
        <v>15000</v>
      </c>
      <c r="J35" s="12" t="str">
        <f t="shared" si="2"/>
        <v>Star</v>
      </c>
      <c r="K35" s="21" t="str">
        <f t="shared" si="3"/>
        <v>Keep Player</v>
      </c>
    </row>
    <row r="36" customHeight="1" spans="1:11">
      <c r="A36" s="12" t="s">
        <v>90</v>
      </c>
      <c r="B36" s="12" t="s">
        <v>91</v>
      </c>
      <c r="C36" s="12" t="s">
        <v>18</v>
      </c>
      <c r="D36" s="12" t="s">
        <v>26</v>
      </c>
      <c r="E36" s="18">
        <v>45252</v>
      </c>
      <c r="F36" s="11">
        <v>8000</v>
      </c>
      <c r="G36" s="17">
        <v>13</v>
      </c>
      <c r="H36" s="12" t="s">
        <v>15</v>
      </c>
      <c r="I36" s="11">
        <f>_xlfn.XLOOKUP(C36,Sponsorships!$A$2:$A$6,Sponsorships!$B$2:$B$6,"Not Found")</f>
        <v>70000</v>
      </c>
      <c r="J36" s="12" t="str">
        <f t="shared" si="2"/>
        <v>Star</v>
      </c>
      <c r="K36" s="21" t="str">
        <f t="shared" si="3"/>
        <v>Keep Player</v>
      </c>
    </row>
    <row r="37" customHeight="1" spans="1:11">
      <c r="A37" s="12" t="s">
        <v>92</v>
      </c>
      <c r="B37" s="12" t="s">
        <v>93</v>
      </c>
      <c r="C37" s="12" t="s">
        <v>29</v>
      </c>
      <c r="D37" s="12" t="s">
        <v>22</v>
      </c>
      <c r="E37" s="16">
        <v>44316</v>
      </c>
      <c r="F37" s="11">
        <v>36000</v>
      </c>
      <c r="G37" s="17">
        <v>17</v>
      </c>
      <c r="H37" s="12" t="s">
        <v>15</v>
      </c>
      <c r="I37" s="11">
        <f>_xlfn.XLOOKUP(C37,Sponsorships!$A$2:$A$6,Sponsorships!$B$2:$B$6,"Not Found")</f>
        <v>90000</v>
      </c>
      <c r="J37" s="12" t="str">
        <f t="shared" si="2"/>
        <v>Star</v>
      </c>
      <c r="K37" s="21" t="str">
        <f t="shared" si="3"/>
        <v>Keep Player</v>
      </c>
    </row>
    <row r="38" customHeight="1" spans="1:11">
      <c r="A38" s="12" t="s">
        <v>94</v>
      </c>
      <c r="B38" s="12" t="s">
        <v>95</v>
      </c>
      <c r="C38" s="12" t="s">
        <v>21</v>
      </c>
      <c r="D38" s="12" t="s">
        <v>14</v>
      </c>
      <c r="E38" s="16">
        <v>43514</v>
      </c>
      <c r="F38" s="11">
        <v>128000</v>
      </c>
      <c r="G38" s="17">
        <v>35</v>
      </c>
      <c r="H38" s="12" t="s">
        <v>15</v>
      </c>
      <c r="I38" s="11">
        <f>_xlfn.XLOOKUP(C38,Sponsorships!$A$2:$A$6,Sponsorships!$B$2:$B$6,"Not Found")</f>
        <v>85000</v>
      </c>
      <c r="J38" s="12" t="str">
        <f t="shared" si="2"/>
        <v>Star</v>
      </c>
      <c r="K38" s="21" t="str">
        <f t="shared" si="3"/>
        <v>Keep Player</v>
      </c>
    </row>
    <row r="39" customHeight="1" spans="1:11">
      <c r="A39" s="12" t="s">
        <v>96</v>
      </c>
      <c r="B39" s="12" t="s">
        <v>97</v>
      </c>
      <c r="C39" s="12" t="s">
        <v>13</v>
      </c>
      <c r="D39" s="12" t="s">
        <v>26</v>
      </c>
      <c r="E39" s="16">
        <v>45509</v>
      </c>
      <c r="F39" s="11">
        <v>14000</v>
      </c>
      <c r="G39" s="17">
        <v>6</v>
      </c>
      <c r="H39" s="12" t="s">
        <v>15</v>
      </c>
      <c r="I39" s="11">
        <f>_xlfn.XLOOKUP(C39,Sponsorships!$A$2:$A$6,Sponsorships!$B$2:$B$6,"Not Found")</f>
        <v>100000</v>
      </c>
      <c r="J39" s="12" t="str">
        <f t="shared" si="2"/>
        <v>Under Review</v>
      </c>
      <c r="K39" s="21" t="str">
        <f t="shared" si="3"/>
        <v>Keep Player</v>
      </c>
    </row>
    <row r="40" customHeight="1" spans="1:11">
      <c r="A40" s="12" t="s">
        <v>98</v>
      </c>
      <c r="B40" s="12" t="s">
        <v>99</v>
      </c>
      <c r="C40" s="12" t="s">
        <v>25</v>
      </c>
      <c r="D40" s="12" t="s">
        <v>22</v>
      </c>
      <c r="E40" s="18">
        <v>44907</v>
      </c>
      <c r="F40" s="11">
        <v>30000</v>
      </c>
      <c r="G40" s="17">
        <v>11</v>
      </c>
      <c r="H40" s="12" t="s">
        <v>15</v>
      </c>
      <c r="I40" s="11">
        <f>_xlfn.XLOOKUP(C40,Sponsorships!$A$2:$A$6,Sponsorships!$B$2:$B$6,"Not Found")</f>
        <v>15000</v>
      </c>
      <c r="J40" s="12" t="str">
        <f t="shared" si="2"/>
        <v>Star</v>
      </c>
      <c r="K40" s="21" t="str">
        <f t="shared" si="3"/>
        <v>Keep Player</v>
      </c>
    </row>
    <row r="41" customHeight="1" spans="1:11">
      <c r="A41" s="12" t="s">
        <v>100</v>
      </c>
      <c r="B41" s="12" t="s">
        <v>101</v>
      </c>
      <c r="C41" s="12" t="s">
        <v>18</v>
      </c>
      <c r="D41" s="12" t="s">
        <v>14</v>
      </c>
      <c r="E41" s="18">
        <v>43399</v>
      </c>
      <c r="F41" s="11">
        <v>112000</v>
      </c>
      <c r="G41" s="17">
        <v>0</v>
      </c>
      <c r="H41" s="12" t="s">
        <v>30</v>
      </c>
      <c r="I41" s="11">
        <f>_xlfn.XLOOKUP(C41,Sponsorships!$A$2:$A$6,Sponsorships!$B$2:$B$6,"Not Found")</f>
        <v>70000</v>
      </c>
      <c r="J41" s="12" t="str">
        <f t="shared" si="2"/>
        <v>Under Review</v>
      </c>
      <c r="K41" s="21" t="str">
        <f t="shared" si="3"/>
        <v>Review Contract</v>
      </c>
    </row>
    <row r="42" customHeight="1" spans="1:11">
      <c r="A42" s="12" t="s">
        <v>102</v>
      </c>
      <c r="B42" s="12" t="s">
        <v>103</v>
      </c>
      <c r="C42" s="12" t="s">
        <v>29</v>
      </c>
      <c r="D42" s="12" t="s">
        <v>26</v>
      </c>
      <c r="E42" s="16">
        <v>45674</v>
      </c>
      <c r="F42" s="11">
        <v>4500</v>
      </c>
      <c r="G42" s="17">
        <v>18</v>
      </c>
      <c r="H42" s="12" t="s">
        <v>15</v>
      </c>
      <c r="I42" s="11">
        <f>_xlfn.XLOOKUP(C42,Sponsorships!$A$2:$A$6,Sponsorships!$B$2:$B$6,"Not Found")</f>
        <v>90000</v>
      </c>
      <c r="J42" s="12" t="str">
        <f t="shared" si="2"/>
        <v>Star</v>
      </c>
      <c r="K42" s="21" t="str">
        <f t="shared" si="3"/>
        <v>Keep Player</v>
      </c>
    </row>
    <row r="43" customHeight="1" spans="1:11">
      <c r="A43" s="12" t="s">
        <v>104</v>
      </c>
      <c r="B43" s="12" t="s">
        <v>105</v>
      </c>
      <c r="C43" s="12" t="s">
        <v>21</v>
      </c>
      <c r="D43" s="12" t="s">
        <v>22</v>
      </c>
      <c r="E43" s="16">
        <v>44350</v>
      </c>
      <c r="F43" s="11">
        <v>44000</v>
      </c>
      <c r="G43" s="17">
        <v>19</v>
      </c>
      <c r="H43" s="12" t="s">
        <v>15</v>
      </c>
      <c r="I43" s="11">
        <f>_xlfn.XLOOKUP(C43,Sponsorships!$A$2:$A$6,Sponsorships!$B$2:$B$6,"Not Found")</f>
        <v>85000</v>
      </c>
      <c r="J43" s="12" t="str">
        <f t="shared" si="2"/>
        <v>Star</v>
      </c>
      <c r="K43" s="21" t="str">
        <f t="shared" si="3"/>
        <v>Keep Player</v>
      </c>
    </row>
    <row r="44" customHeight="1" spans="1:11">
      <c r="A44" s="12" t="s">
        <v>106</v>
      </c>
      <c r="B44" s="12" t="s">
        <v>107</v>
      </c>
      <c r="C44" s="12" t="s">
        <v>13</v>
      </c>
      <c r="D44" s="12" t="s">
        <v>14</v>
      </c>
      <c r="E44" s="16">
        <v>44095</v>
      </c>
      <c r="F44" s="11">
        <v>150000</v>
      </c>
      <c r="G44" s="17">
        <v>30</v>
      </c>
      <c r="H44" s="12" t="s">
        <v>15</v>
      </c>
      <c r="I44" s="11">
        <f>_xlfn.XLOOKUP(C44,Sponsorships!$A$2:$A$6,Sponsorships!$B$2:$B$6,"Not Found")</f>
        <v>100000</v>
      </c>
      <c r="J44" s="12" t="str">
        <f t="shared" si="2"/>
        <v>Star</v>
      </c>
      <c r="K44" s="21" t="str">
        <f t="shared" si="3"/>
        <v>Keep Player</v>
      </c>
    </row>
    <row r="45" customHeight="1" spans="1:11">
      <c r="A45" s="12" t="s">
        <v>108</v>
      </c>
      <c r="B45" s="12" t="s">
        <v>109</v>
      </c>
      <c r="C45" s="12" t="s">
        <v>25</v>
      </c>
      <c r="D45" s="12" t="s">
        <v>26</v>
      </c>
      <c r="E45" s="16">
        <v>45330</v>
      </c>
      <c r="F45" s="11">
        <v>7000</v>
      </c>
      <c r="G45" s="17">
        <v>10</v>
      </c>
      <c r="H45" s="12" t="s">
        <v>15</v>
      </c>
      <c r="I45" s="11">
        <f>_xlfn.XLOOKUP(C45,Sponsorships!$A$2:$A$6,Sponsorships!$B$2:$B$6,"Not Found")</f>
        <v>15000</v>
      </c>
      <c r="J45" s="12" t="str">
        <f t="shared" si="2"/>
        <v>Under Review</v>
      </c>
      <c r="K45" s="21" t="str">
        <f t="shared" si="3"/>
        <v>Keep Player</v>
      </c>
    </row>
    <row r="46" customHeight="1" spans="1:11">
      <c r="A46" s="12" t="s">
        <v>110</v>
      </c>
      <c r="B46" s="12" t="s">
        <v>111</v>
      </c>
      <c r="C46" s="12" t="s">
        <v>18</v>
      </c>
      <c r="D46" s="12" t="s">
        <v>22</v>
      </c>
      <c r="E46" s="16">
        <v>44756</v>
      </c>
      <c r="F46" s="11">
        <v>52000</v>
      </c>
      <c r="G46" s="17">
        <v>22</v>
      </c>
      <c r="H46" s="12" t="s">
        <v>15</v>
      </c>
      <c r="I46" s="11">
        <f>_xlfn.XLOOKUP(C46,Sponsorships!$A$2:$A$6,Sponsorships!$B$2:$B$6,"Not Found")</f>
        <v>70000</v>
      </c>
      <c r="J46" s="12" t="str">
        <f t="shared" si="2"/>
        <v>Star</v>
      </c>
      <c r="K46" s="21" t="str">
        <f t="shared" si="3"/>
        <v>Keep Player</v>
      </c>
    </row>
    <row r="47" customHeight="1" spans="1:11">
      <c r="A47" s="12" t="s">
        <v>112</v>
      </c>
      <c r="B47" s="12" t="s">
        <v>113</v>
      </c>
      <c r="C47" s="12" t="s">
        <v>29</v>
      </c>
      <c r="D47" s="12" t="s">
        <v>14</v>
      </c>
      <c r="E47" s="16">
        <v>43553</v>
      </c>
      <c r="F47" s="11">
        <v>130000</v>
      </c>
      <c r="G47" s="17">
        <v>5</v>
      </c>
      <c r="H47" s="12" t="s">
        <v>30</v>
      </c>
      <c r="I47" s="11">
        <f>_xlfn.XLOOKUP(C47,Sponsorships!$A$2:$A$6,Sponsorships!$B$2:$B$6,"Not Found")</f>
        <v>90000</v>
      </c>
      <c r="J47" s="12" t="str">
        <f t="shared" si="2"/>
        <v>Under Review</v>
      </c>
      <c r="K47" s="21" t="str">
        <f t="shared" si="3"/>
        <v>Keep Player</v>
      </c>
    </row>
    <row r="48" customHeight="1" spans="1:11">
      <c r="A48" s="12" t="s">
        <v>114</v>
      </c>
      <c r="B48" s="12" t="s">
        <v>115</v>
      </c>
      <c r="C48" s="12" t="s">
        <v>21</v>
      </c>
      <c r="D48" s="12" t="s">
        <v>26</v>
      </c>
      <c r="E48" s="18">
        <v>45241</v>
      </c>
      <c r="F48" s="11">
        <v>13000</v>
      </c>
      <c r="G48" s="17">
        <v>14</v>
      </c>
      <c r="H48" s="12" t="s">
        <v>15</v>
      </c>
      <c r="I48" s="11">
        <f>_xlfn.XLOOKUP(C48,Sponsorships!$A$2:$A$6,Sponsorships!$B$2:$B$6,"Not Found")</f>
        <v>85000</v>
      </c>
      <c r="J48" s="12" t="str">
        <f t="shared" si="2"/>
        <v>Star</v>
      </c>
      <c r="K48" s="21" t="str">
        <f t="shared" si="3"/>
        <v>Keep Player</v>
      </c>
    </row>
    <row r="49" customHeight="1" spans="1:11">
      <c r="A49" s="12" t="s">
        <v>116</v>
      </c>
      <c r="B49" s="12" t="s">
        <v>117</v>
      </c>
      <c r="C49" s="12" t="s">
        <v>13</v>
      </c>
      <c r="D49" s="12" t="s">
        <v>22</v>
      </c>
      <c r="E49" s="16">
        <v>44323</v>
      </c>
      <c r="F49" s="11">
        <v>58000</v>
      </c>
      <c r="G49" s="17">
        <v>17</v>
      </c>
      <c r="H49" s="12" t="s">
        <v>15</v>
      </c>
      <c r="I49" s="11">
        <f>_xlfn.XLOOKUP(C49,Sponsorships!$A$2:$A$6,Sponsorships!$B$2:$B$6,"Not Found")</f>
        <v>100000</v>
      </c>
      <c r="J49" s="12" t="str">
        <f t="shared" si="2"/>
        <v>Star</v>
      </c>
      <c r="K49" s="21" t="str">
        <f t="shared" si="3"/>
        <v>Keep Player</v>
      </c>
    </row>
    <row r="50" customHeight="1" spans="1:11">
      <c r="A50" s="12" t="s">
        <v>118</v>
      </c>
      <c r="B50" s="12" t="s">
        <v>119</v>
      </c>
      <c r="C50" s="12" t="s">
        <v>25</v>
      </c>
      <c r="D50" s="12" t="s">
        <v>14</v>
      </c>
      <c r="E50" s="16">
        <v>43336</v>
      </c>
      <c r="F50" s="11">
        <v>92000</v>
      </c>
      <c r="G50" s="17">
        <v>0</v>
      </c>
      <c r="H50" s="12" t="s">
        <v>41</v>
      </c>
      <c r="I50" s="11">
        <f>_xlfn.XLOOKUP(C50,Sponsorships!$A$2:$A$6,Sponsorships!$B$2:$B$6,"Not Found")</f>
        <v>15000</v>
      </c>
      <c r="J50" s="12" t="str">
        <f t="shared" si="2"/>
        <v>Under Review</v>
      </c>
      <c r="K50" s="21" t="str">
        <f t="shared" si="3"/>
        <v>Keep Player</v>
      </c>
    </row>
    <row r="51" customHeight="1" spans="1:11">
      <c r="A51" s="12" t="s">
        <v>120</v>
      </c>
      <c r="B51" s="12" t="s">
        <v>121</v>
      </c>
      <c r="C51" s="12" t="s">
        <v>18</v>
      </c>
      <c r="D51" s="12" t="s">
        <v>26</v>
      </c>
      <c r="E51" s="16">
        <v>45628</v>
      </c>
      <c r="F51" s="11">
        <v>9500</v>
      </c>
      <c r="G51" s="17">
        <v>7</v>
      </c>
      <c r="H51" s="12" t="s">
        <v>15</v>
      </c>
      <c r="I51" s="11">
        <f>_xlfn.XLOOKUP(C51,Sponsorships!$A$2:$A$6,Sponsorships!$B$2:$B$6,"Not Found")</f>
        <v>70000</v>
      </c>
      <c r="J51" s="12" t="str">
        <f t="shared" si="2"/>
        <v>Under Review</v>
      </c>
      <c r="K51" s="21" t="str">
        <f t="shared" si="3"/>
        <v>Keep Player</v>
      </c>
    </row>
  </sheetData>
  <conditionalFormatting sqref="F2:F51">
    <cfRule type="cellIs" dxfId="11" priority="1" operator="greaterThan">
      <formula>8000</formula>
    </cfRule>
  </conditionalFormatting>
  <conditionalFormatting sqref="H2:H51">
    <cfRule type="cellIs" dxfId="12" priority="3" operator="equal">
      <formula>"Injured"</formula>
    </cfRule>
  </conditionalFormatting>
  <conditionalFormatting sqref="J2:J51">
    <cfRule type="cellIs" dxfId="13" priority="2" operator="equal">
      <formula>"Star"</formula>
    </cfRule>
  </conditionalFormatting>
  <dataValidations count="5">
    <dataValidation type="list" allowBlank="1" showInputMessage="1" showErrorMessage="1" sqref="C2:C51">
      <formula1>"Football, Tennis, Basketball, Swimming, Esports"</formula1>
    </dataValidation>
    <dataValidation type="list" allowBlank="1" showInputMessage="1" showErrorMessage="1" sqref="D2:D51">
      <formula1>"A, B, C"</formula1>
    </dataValidation>
    <dataValidation type="date" operator="lessThanOrEqual" allowBlank="1" showInputMessage="1" showErrorMessage="1" sqref="E2:E51">
      <formula1>TODAY()</formula1>
    </dataValidation>
    <dataValidation type="decimal" operator="greaterThan" allowBlank="1" showInputMessage="1" showErrorMessage="1" error="Invalid Entry" sqref="F2:F51" errorStyle="warning">
      <formula1>0</formula1>
    </dataValidation>
    <dataValidation type="list" allowBlank="1" showInputMessage="1" showErrorMessage="1" sqref="H2:H51">
      <formula1>"Active, Injured, Retired"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9" sqref="B19"/>
    </sheetView>
  </sheetViews>
  <sheetFormatPr defaultColWidth="9.14285714285714" defaultRowHeight="12.75" outlineLevelRow="5" outlineLevelCol="1"/>
  <cols>
    <col min="1" max="1" width="10.2857142857143" style="7" customWidth="1"/>
    <col min="2" max="2" width="20.1428571428571" style="8" customWidth="1"/>
  </cols>
  <sheetData>
    <row r="1" spans="1:2">
      <c r="A1" s="7" t="s">
        <v>2</v>
      </c>
      <c r="B1" s="8" t="s">
        <v>122</v>
      </c>
    </row>
    <row r="2" spans="1:2">
      <c r="A2" s="7" t="s">
        <v>13</v>
      </c>
      <c r="B2" s="8">
        <v>100000</v>
      </c>
    </row>
    <row r="3" spans="1:2">
      <c r="A3" s="7" t="s">
        <v>21</v>
      </c>
      <c r="B3" s="8">
        <v>85000</v>
      </c>
    </row>
    <row r="4" spans="1:2">
      <c r="A4" s="7" t="s">
        <v>18</v>
      </c>
      <c r="B4" s="8">
        <v>70000</v>
      </c>
    </row>
    <row r="5" spans="1:2">
      <c r="A5" s="7" t="s">
        <v>29</v>
      </c>
      <c r="B5" s="8">
        <v>90000</v>
      </c>
    </row>
    <row r="6" spans="1:2">
      <c r="A6" s="7" t="s">
        <v>25</v>
      </c>
      <c r="B6" s="8">
        <v>15000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"/>
  <sheetViews>
    <sheetView topLeftCell="Y1" workbookViewId="0">
      <selection activeCell="AP9" sqref="AP9"/>
    </sheetView>
  </sheetViews>
  <sheetFormatPr defaultColWidth="9.14285714285714" defaultRowHeight="12.75"/>
  <cols>
    <col min="1" max="1" width="12.5714285714286"/>
    <col min="2" max="2" width="19.5714285714286"/>
    <col min="15" max="15" width="12.5714285714286"/>
    <col min="16" max="17" width="25.2857142857143"/>
    <col min="36" max="36" width="12.5714285714286"/>
    <col min="37" max="37" width="19.5714285714286"/>
  </cols>
  <sheetData>
    <row r="1" spans="1:2">
      <c r="A1" t="s">
        <v>2</v>
      </c>
      <c r="B1" t="s">
        <v>123</v>
      </c>
    </row>
    <row r="2" spans="1:2">
      <c r="A2" t="s">
        <v>21</v>
      </c>
      <c r="B2">
        <v>10</v>
      </c>
    </row>
    <row r="3" spans="1:2">
      <c r="A3" t="s">
        <v>29</v>
      </c>
      <c r="B3">
        <v>10</v>
      </c>
    </row>
    <row r="4" spans="1:2">
      <c r="A4" t="s">
        <v>13</v>
      </c>
      <c r="B4">
        <v>11</v>
      </c>
    </row>
    <row r="5" spans="1:2">
      <c r="A5" t="s">
        <v>25</v>
      </c>
      <c r="B5">
        <v>9</v>
      </c>
    </row>
    <row r="6" spans="1:2">
      <c r="A6" t="s">
        <v>18</v>
      </c>
      <c r="B6">
        <v>10</v>
      </c>
    </row>
    <row r="7" spans="1:2">
      <c r="A7" t="s">
        <v>124</v>
      </c>
      <c r="B7">
        <v>50</v>
      </c>
    </row>
    <row r="8" spans="36:37">
      <c r="AJ8" t="s">
        <v>7</v>
      </c>
      <c r="AK8" t="s">
        <v>123</v>
      </c>
    </row>
    <row r="9" spans="36:37">
      <c r="AJ9" t="s">
        <v>15</v>
      </c>
      <c r="AK9">
        <v>40</v>
      </c>
    </row>
    <row r="10" spans="36:37">
      <c r="AJ10" t="s">
        <v>30</v>
      </c>
      <c r="AK10">
        <v>7</v>
      </c>
    </row>
    <row r="11" spans="36:37">
      <c r="AJ11" t="s">
        <v>124</v>
      </c>
      <c r="AK11">
        <v>47</v>
      </c>
    </row>
    <row r="19" spans="15:17">
      <c r="O19" t="s">
        <v>2</v>
      </c>
      <c r="P19" t="s">
        <v>125</v>
      </c>
      <c r="Q19" t="s">
        <v>126</v>
      </c>
    </row>
    <row r="20" spans="15:17">
      <c r="O20" t="s">
        <v>21</v>
      </c>
      <c r="P20">
        <v>850000</v>
      </c>
      <c r="Q20">
        <v>591000</v>
      </c>
    </row>
    <row r="21" spans="15:17">
      <c r="O21" t="s">
        <v>29</v>
      </c>
      <c r="P21">
        <v>900000</v>
      </c>
      <c r="Q21">
        <v>614500</v>
      </c>
    </row>
    <row r="22" spans="15:17">
      <c r="O22" t="s">
        <v>13</v>
      </c>
      <c r="P22">
        <v>1100000</v>
      </c>
      <c r="Q22">
        <v>802000</v>
      </c>
    </row>
    <row r="23" spans="15:17">
      <c r="O23" t="s">
        <v>25</v>
      </c>
      <c r="P23">
        <v>135000</v>
      </c>
      <c r="Q23">
        <v>390000</v>
      </c>
    </row>
    <row r="24" spans="15:17">
      <c r="O24" t="s">
        <v>18</v>
      </c>
      <c r="P24">
        <v>700000</v>
      </c>
      <c r="Q24">
        <v>617500</v>
      </c>
    </row>
    <row r="25" spans="15:17">
      <c r="O25" t="s">
        <v>124</v>
      </c>
      <c r="P25">
        <v>3685000</v>
      </c>
      <c r="Q25">
        <v>3015000</v>
      </c>
    </row>
  </sheetData>
  <pageMargins left="0.75" right="0.75" top="1" bottom="1" header="0.5" footer="0.5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zoomScale="60" zoomScaleNormal="60" workbookViewId="0">
      <selection activeCell="I45" sqref="I45"/>
    </sheetView>
  </sheetViews>
  <sheetFormatPr defaultColWidth="9" defaultRowHeight="14.25"/>
  <cols>
    <col min="1" max="16" width="9" style="1"/>
    <col min="17" max="17" width="7.43809523809524" style="1" customWidth="1"/>
    <col min="18" max="16384" width="9" style="1"/>
  </cols>
  <sheetData>
    <row r="1" s="1" customFormat="1" ht="25.8" customHeight="1" spans="1:16">
      <c r="A1" s="2" t="s">
        <v>127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</row>
    <row r="2" s="1" customFormat="1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="1" customFormat="1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="1" customFormat="1" spans="1:1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="1" customFormat="1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="1" customFormat="1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="1" customFormat="1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="1" customFormat="1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="1" customFormat="1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="1" customFormat="1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="1" customFormat="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="1" customFormat="1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="1" customFormat="1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="1" customFormat="1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="1" customFormat="1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="1" customFormat="1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="1" customFormat="1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="1" customFormat="1" ht="100.2" customHeight="1" spans="1:1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="1" customFormat="1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="1" customFormat="1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="1" customFormat="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="1" customFormat="1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="1" customFormat="1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="1" customFormat="1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="1" customFormat="1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="1" customFormat="1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="1" customFormat="1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="1" customFormat="1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="1" customFormat="1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="1" customFormat="1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="1" customFormat="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="1" customFormat="1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="1" customFormat="1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</sheetData>
  <mergeCells count="2">
    <mergeCell ref="A1:G1"/>
    <mergeCell ref="H1:P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1"/>
  <sheetViews>
    <sheetView workbookViewId="0">
      <selection activeCell="H12" sqref="H12"/>
    </sheetView>
  </sheetViews>
  <sheetFormatPr defaultColWidth="9.14285714285714" defaultRowHeight="12.75"/>
  <cols>
    <col min="1" max="1" width="12.5714285714286"/>
    <col min="2" max="3" width="25.2857142857143"/>
    <col min="7" max="8" width="18"/>
    <col min="9" max="9" width="19.5714285714286"/>
  </cols>
  <sheetData>
    <row r="2" spans="7:9">
      <c r="G2" t="s">
        <v>128</v>
      </c>
      <c r="H2" t="s">
        <v>4</v>
      </c>
      <c r="I2" t="s">
        <v>123</v>
      </c>
    </row>
    <row r="3" spans="1:9">
      <c r="A3" t="s">
        <v>2</v>
      </c>
      <c r="B3" t="s">
        <v>126</v>
      </c>
      <c r="C3" t="s">
        <v>125</v>
      </c>
      <c r="G3" t="s">
        <v>129</v>
      </c>
      <c r="H3"/>
      <c r="I3">
        <v>5</v>
      </c>
    </row>
    <row r="4" spans="1:9">
      <c r="A4" t="s">
        <v>21</v>
      </c>
      <c r="B4">
        <v>591000</v>
      </c>
      <c r="C4">
        <v>850000</v>
      </c>
      <c r="G4" t="s">
        <v>130</v>
      </c>
      <c r="H4"/>
      <c r="I4">
        <v>7</v>
      </c>
    </row>
    <row r="5" spans="1:9">
      <c r="A5" t="s">
        <v>29</v>
      </c>
      <c r="B5">
        <v>614500</v>
      </c>
      <c r="C5">
        <v>900000</v>
      </c>
      <c r="G5" t="s">
        <v>131</v>
      </c>
      <c r="H5"/>
      <c r="I5">
        <v>6</v>
      </c>
    </row>
    <row r="6" spans="1:9">
      <c r="A6" t="s">
        <v>13</v>
      </c>
      <c r="B6">
        <v>802000</v>
      </c>
      <c r="C6">
        <v>1100000</v>
      </c>
      <c r="G6" t="s">
        <v>132</v>
      </c>
      <c r="H6"/>
      <c r="I6">
        <v>9</v>
      </c>
    </row>
    <row r="7" spans="1:9">
      <c r="A7" t="s">
        <v>25</v>
      </c>
      <c r="B7">
        <v>390000</v>
      </c>
      <c r="C7">
        <v>135000</v>
      </c>
      <c r="G7" t="s">
        <v>133</v>
      </c>
      <c r="H7"/>
      <c r="I7">
        <v>8</v>
      </c>
    </row>
    <row r="8" spans="1:9">
      <c r="A8" t="s">
        <v>18</v>
      </c>
      <c r="B8">
        <v>617500</v>
      </c>
      <c r="C8">
        <v>700000</v>
      </c>
      <c r="G8" t="s">
        <v>134</v>
      </c>
      <c r="H8"/>
      <c r="I8">
        <v>6</v>
      </c>
    </row>
    <row r="9" spans="1:9">
      <c r="A9" t="s">
        <v>124</v>
      </c>
      <c r="B9">
        <v>3015000</v>
      </c>
      <c r="C9">
        <v>3685000</v>
      </c>
      <c r="G9" t="s">
        <v>135</v>
      </c>
      <c r="H9"/>
      <c r="I9">
        <v>7</v>
      </c>
    </row>
    <row r="10" spans="7:9">
      <c r="G10" t="s">
        <v>136</v>
      </c>
      <c r="H10"/>
      <c r="I10">
        <v>2</v>
      </c>
    </row>
    <row r="11" spans="7:9">
      <c r="G11" t="s">
        <v>124</v>
      </c>
      <c r="H11"/>
      <c r="I11">
        <v>50</v>
      </c>
    </row>
  </sheetData>
  <pageMargins left="0.75" right="0.75" top="1" bottom="1" header="0.5" footer="0.5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Athelets Data</vt:lpstr>
      <vt:lpstr>Sponsorships</vt:lpstr>
      <vt:lpstr>sheet3</vt:lpstr>
      <vt:lpstr>Charts</vt:lpstr>
      <vt:lpstr>Detective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</cp:lastModifiedBy>
  <dcterms:created xsi:type="dcterms:W3CDTF">2026-03-28T21:55:52Z</dcterms:created>
  <dcterms:modified xsi:type="dcterms:W3CDTF">2026-03-29T01:01:25Z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976AC809D9DB474EBA9D5F5C984990DD_13</vt:lpwstr>
  </property>
  <property fmtid="{D5CDD505-2E9C-101B-9397-08002B2CF9AE}" pid="3" name="KSOProductBuildVer">
    <vt:lpwstr>2057-12.2.0.23197</vt:lpwstr>
  </property>
</Properties>
</file>